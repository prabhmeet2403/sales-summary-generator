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mc:AlternateContent xmlns:mc="http://schemas.openxmlformats.org/markup-compatibility/2006">
    <mc:Choice Requires="x15">
      <x15ac:absPath xmlns:x15ac="http://schemas.microsoft.com/office/spreadsheetml/2010/11/ac" url="C:\Users\nv_tp\Downloads\"/>
    </mc:Choice>
  </mc:AlternateContent>
  <xr:revisionPtr revIDLastSave="0" documentId="13_ncr:1_{52CB26D0-7F4E-408E-A2CF-FA31CC03CF3E}" xr6:coauthVersionLast="47" xr6:coauthVersionMax="47" xr10:uidLastSave="{00000000-0000-0000-0000-000000000000}"/>
  <bookViews>
    <workbookView xWindow="-120" yWindow="-120" windowWidth="29040" windowHeight="15720" xr2:uid="{163BCF89-DF0C-4EDE-AB40-97374C0C1D6F}"/>
  </bookViews>
  <sheets>
    <sheet name="2026"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2" i="3" l="1"/>
  <c r="J41" i="3"/>
  <c r="J40" i="3"/>
  <c r="J39"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K45" i="3"/>
  <c r="K35" i="3"/>
  <c r="J45" i="3" l="1"/>
  <c r="J35" i="3"/>
  <c r="G45" i="3" l="1"/>
  <c r="I45" i="3"/>
  <c r="H45" i="3"/>
  <c r="H35" i="3"/>
  <c r="F45" i="3" l="1"/>
  <c r="E45" i="3"/>
  <c r="D45" i="3"/>
  <c r="C45" i="3"/>
  <c r="G35" i="3"/>
  <c r="F35" i="3"/>
  <c r="E35" i="3"/>
  <c r="D35" i="3"/>
  <c r="C35" i="3"/>
  <c r="I35" i="3" l="1"/>
</calcChain>
</file>

<file path=xl/sharedStrings.xml><?xml version="1.0" encoding="utf-8"?>
<sst xmlns="http://schemas.openxmlformats.org/spreadsheetml/2006/main" count="74" uniqueCount="68">
  <si>
    <t>Name</t>
  </si>
  <si>
    <t>POC</t>
  </si>
  <si>
    <t>Total</t>
  </si>
  <si>
    <t>Margin</t>
  </si>
  <si>
    <t>Q1</t>
  </si>
  <si>
    <t>Q2</t>
  </si>
  <si>
    <t>Q3</t>
  </si>
  <si>
    <t>Q4</t>
  </si>
  <si>
    <t>Comments</t>
  </si>
  <si>
    <t>Solutions and Staff Augmentation (Projects)</t>
  </si>
  <si>
    <t>Solutions and Staff Augmentation (Projects) - Track 1</t>
  </si>
  <si>
    <t>AIS Solutions</t>
  </si>
  <si>
    <t>Opened the account with 1 full time FED for 3 months.
Client is not going to renew this account post May 15</t>
  </si>
  <si>
    <t>Aldevron</t>
  </si>
  <si>
    <t>Initiated engagement with the client through a small project valued at $1,200.
Successfully secured an ongoing maintenance SOW worth $8,150 per month, with a start date of February 2, 2026.</t>
  </si>
  <si>
    <t>Automation Anywhere</t>
  </si>
  <si>
    <t>Renewal SOW approved for
1. 6-month duration until July 2026
2. Team size reduced from  current 10 to 9 resources
3. Monthly billing $30,000
SOW for period Aug - Oct 2026 submitted for approval</t>
  </si>
  <si>
    <t>CheckPoint</t>
  </si>
  <si>
    <t>The client has discontinued our services from April onwards.</t>
  </si>
  <si>
    <t>Churchs-Chicken</t>
  </si>
  <si>
    <t>SOW valid until Dec 31, 2027.</t>
  </si>
  <si>
    <t>Databricks</t>
  </si>
  <si>
    <t>We have 6 active SOWs with Databricks.
1. The Website maintenance SOW with monthly billing of ~$66,300 is approved until Sep 30, 2026
2. The rest of the SOWs are approved with a total monthly billing of ~$115,000 and approved until April 30, 2026. The SOWs are
	a. SEO Content Strategist
	b. SEO Program Management (This position is now being moved to the US. We are working with the client on identifying an appropriate resource. Interviews in progress. 
	c. Planning Project
	d. Martech Platform Operations
	e. Program Manager and Marketo</t>
  </si>
  <si>
    <t>EGIA</t>
  </si>
  <si>
    <t>Open-ended SOW for the last many of years. Growth in 2026 is expected as EGIA wins more RFPs</t>
  </si>
  <si>
    <t>HAL</t>
  </si>
  <si>
    <t>1. We started 2026 with 3 Staff Augmentation SOWs. Two of these SOW (Creative and Marketo) were discontinued from April 2026 and were left with "Digital Web Marketing" SOW, which is approved until Sep 2026 ($36,900 for 6 months) and has high confidence in getting it further renewed.
2. Signed a new SOW for Digital Marketing Operation Specialist $5000/month. Start date May 18
3. Delivered a fixed cost project, "Critical Minerals AI Analysis solution," for $22,000.</t>
  </si>
  <si>
    <t>Hitachi Asia</t>
  </si>
  <si>
    <t>The client visited our India office on May 6- 7 to go over the 2026 projects. 
   Client agreed on 4 proposals and the same have been submitted for approval with a total billing value of $93K.
   Another AI project proposal has been submitted for approval
           Phase 1 - Pilot: INR 9,95,500
           Phase 2 - full rollout: INR 7,53,300 + monthly subscription of $2,500</t>
  </si>
  <si>
    <t>Hitachi Stem</t>
  </si>
  <si>
    <t>Open Ended SOW</t>
  </si>
  <si>
    <t>HPE</t>
  </si>
  <si>
    <t>We currently have a total of 12 active SOWs, each with different approval and duration cycles:
Three SOWs approved for Nov 2025 – Oct 2026, with an annual billing value of approximately $245,600. These follow an annual approval cycle.
Four SOWs approved for May 2026 – July 2026, with a quarterly billing value of approximately $269,000. These follow a 3-month approval cycle.
Two SOWs approved for May 2026 – Oct 2026, with a billing value of approximately $217,600 and a 6-month approval cycle.
Two SOWs approved for Nov 2025 – Jul 2026, executed as project-based engagements. Based on the current monthly delivery, we are billing approximately $13K per month. This billing is expected to increase by $5,500 starting May 2026.
One additional SOW approved for Feb 2026 – Oct 2026, with a monthly billing value of $4,666.
All of these SOWs are highly likely to be renewed based on their respective approval cycles and current engagement status.</t>
  </si>
  <si>
    <t>Icertis</t>
  </si>
  <si>
    <t>SOW has been submitted for renewal from Jun 4 to Sep 3, 2026. Got verbal approval, waiting on a signed copy.</t>
  </si>
  <si>
    <t>IDBS</t>
  </si>
  <si>
    <t>LiveRamp</t>
  </si>
  <si>
    <t>SOW valid until Dec 31, 2026
There is a reduction of 140 billed hours per month compared to 2025.
Additionally, the hourly billing rate for the remaining team members has increased by 10% in 2026.</t>
  </si>
  <si>
    <t>Molecular Devices</t>
  </si>
  <si>
    <t>SOW valid until Dec 31, 2026. 
In the 2026 SOW the bill rate has been increased by 10%</t>
  </si>
  <si>
    <t>RingCentral</t>
  </si>
  <si>
    <t>The current SOW is approved until Jun 2026
Compared to 2025, the client has reduced the team size by four resources.
SOW for renewal July-Dec 2026 submitted for approval.</t>
  </si>
  <si>
    <t>SEMI</t>
  </si>
  <si>
    <t>The client initially provided 2 months' notice for SOW termination in mid-March 2026.
Efforts were underway to demonstrate our expertise and secure a full or partial renewal.
Starting this month, the client has resumed assigning work, and the same team will continue supporting SEMI until further direction is provided by the client.</t>
  </si>
  <si>
    <t>UiPath</t>
  </si>
  <si>
    <t>SOW valid until July 31, 2026</t>
  </si>
  <si>
    <t>YetiMyFriend</t>
  </si>
  <si>
    <t>Open-ended SOW.</t>
  </si>
  <si>
    <t>AI Forward</t>
  </si>
  <si>
    <t>Bench</t>
  </si>
  <si>
    <t>Bench Deployed</t>
  </si>
  <si>
    <t>MetaSys Payroll Portal-Truist</t>
  </si>
  <si>
    <t>MetaSys Staffing Reports Wendy</t>
  </si>
  <si>
    <t>MetaSys, Marlow Content and Design</t>
  </si>
  <si>
    <t>Ovis- Creative Support</t>
  </si>
  <si>
    <t>Ovis Programming + MetaSys Websites</t>
  </si>
  <si>
    <t>Sales &amp; Marketing (Nvish &amp; MetaSys)</t>
  </si>
  <si>
    <t>Subtotal : Track 1</t>
  </si>
  <si>
    <t>Staffing- Secured</t>
  </si>
  <si>
    <t>Manmeet</t>
  </si>
  <si>
    <t>SOW renewed for Q1, Q2, and selective for a 12-month period.</t>
  </si>
  <si>
    <t>Marvell India</t>
  </si>
  <si>
    <t>Sunil/Neeraj</t>
  </si>
  <si>
    <t>AZU Solutions</t>
  </si>
  <si>
    <t>Pankaj/Neeraj</t>
  </si>
  <si>
    <t>The respective SOWs are valid for 6-month and 9-month durations</t>
  </si>
  <si>
    <t>SOW valid until Aug 31, 2026</t>
  </si>
  <si>
    <t>Subtotal : Staffing- Secured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</si>
</sst>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
    <font>
      <sz val="10"/>
      <color theme="1"/>
      <name val="Calibri"/>
      <family val="2"/>
    </font>
    <font>
      <sz val="10"/>
      <color theme="1"/>
      <name val="Calibri"/>
      <family val="2"/>
    </font>
  </fonts>
  <fills count="4">
    <fill>
      <patternFill patternType="none"/>
    </fill>
    <fill>
      <patternFill patternType="gray125"/>
    </fill>
    <fill>
      <patternFill patternType="solid">
        <fgColor rgb="FFCCFFFF"/>
        <bgColor indexed="64"/>
      </patternFill>
    </fill>
    <fill>
      <patternFill patternType="solid">
        <fgColor theme="0" tint="-0.14999847407452621"/>
        <bgColor indexed="64"/>
      </patternFill>
    </fill>
  </fills>
  <borders count="3">
    <border>
      <left/>
      <right/>
      <top/>
      <bottom/>
      <diagonal/>
    </border>
    <border>
      <left style="thin">
        <color indexed="64"/>
      </left>
      <right/>
      <top/>
      <bottom/>
      <diagonal/>
    </border>
    <border>
      <left/>
      <right style="thin">
        <color indexed="64"/>
      </right>
      <top/>
      <bottom/>
      <diagonal/>
    </border>
  </borders>
  <cellStyleXfs count="2">
    <xf numFmtId="0" fontId="0" fillId="0" borderId="0">
      <alignment vertical="top"/>
    </xf>
    <xf numFmtId="43" fontId="1" fillId="0" borderId="0" applyFont="0" applyFill="0" applyBorder="0" applyAlignment="0" applyProtection="0"/>
  </cellStyleXfs>
  <cellXfs count="21">
    <xf numFmtId="0" fontId="0" fillId="0" borderId="0" xfId="0">
      <alignment vertical="top"/>
    </xf>
    <xf numFmtId="0" fontId="0" fillId="0" borderId="0" xfId="0" applyAlignment="1">
      <alignment horizontal="center" vertical="center"/>
    </xf>
    <xf numFmtId="0" fontId="0" fillId="2" borderId="0" xfId="0" applyFill="1">
      <alignment vertical="top"/>
    </xf>
    <xf numFmtId="0" fontId="0" fillId="3" borderId="0" xfId="0" applyFill="1">
      <alignment vertical="top"/>
    </xf>
    <xf numFmtId="164" fontId="0" fillId="0" borderId="0" xfId="1" applyNumberFormat="1" applyFont="1" applyAlignment="1">
      <alignment vertical="top"/>
    </xf>
    <xf numFmtId="164" fontId="0" fillId="3" borderId="0" xfId="1" applyNumberFormat="1" applyFont="1" applyFill="1" applyAlignment="1">
      <alignment vertical="top"/>
    </xf>
    <xf numFmtId="164" fontId="0" fillId="2" borderId="0" xfId="1" applyNumberFormat="1" applyFont="1" applyFill="1" applyAlignment="1">
      <alignment vertical="top"/>
    </xf>
    <xf numFmtId="0" fontId="0" fillId="0" borderId="1" xfId="0" applyBorder="1" applyAlignment="1">
      <alignment horizontal="center" vertical="center"/>
    </xf>
    <xf numFmtId="164" fontId="0" fillId="0" borderId="1" xfId="1" applyNumberFormat="1" applyFont="1" applyBorder="1" applyAlignment="1">
      <alignment vertical="top"/>
    </xf>
    <xf numFmtId="164" fontId="0" fillId="0" borderId="0" xfId="1" applyNumberFormat="1" applyFont="1" applyBorder="1" applyAlignment="1">
      <alignment vertical="top"/>
    </xf>
    <xf numFmtId="164" fontId="0" fillId="3" borderId="1" xfId="1" applyNumberFormat="1" applyFont="1" applyFill="1" applyBorder="1" applyAlignment="1">
      <alignment vertical="top"/>
    </xf>
    <xf numFmtId="164" fontId="0" fillId="3" borderId="0" xfId="1" applyNumberFormat="1" applyFont="1" applyFill="1" applyBorder="1" applyAlignment="1">
      <alignment vertical="top"/>
    </xf>
    <xf numFmtId="164" fontId="0" fillId="2" borderId="1" xfId="1" applyNumberFormat="1" applyFont="1" applyFill="1" applyBorder="1" applyAlignment="1">
      <alignment vertical="top"/>
    </xf>
    <xf numFmtId="164" fontId="0" fillId="2" borderId="0" xfId="1" applyNumberFormat="1" applyFont="1" applyFill="1" applyBorder="1" applyAlignment="1">
      <alignment vertical="top"/>
    </xf>
    <xf numFmtId="0" fontId="0" fillId="0" borderId="2" xfId="0" applyBorder="1" applyAlignment="1">
      <alignment horizontal="center" vertical="center"/>
    </xf>
    <xf numFmtId="164" fontId="0" fillId="0" borderId="2" xfId="1" applyNumberFormat="1" applyFont="1" applyBorder="1" applyAlignment="1">
      <alignment vertical="top"/>
    </xf>
    <xf numFmtId="164" fontId="0" fillId="3" borderId="2" xfId="1" applyNumberFormat="1" applyFont="1" applyFill="1" applyBorder="1" applyAlignment="1">
      <alignment vertical="top"/>
    </xf>
    <xf numFmtId="164" fontId="0" fillId="2" borderId="2" xfId="1" applyNumberFormat="1" applyFont="1" applyFill="1" applyBorder="1" applyAlignment="1">
      <alignment vertical="top"/>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cellXfs>
  <cellStyles count="2">
    <cellStyle name="Comma" xfId="1" builtinId="3"/>
    <cellStyle name="Normal" xfId="0" builtinId="0" customBuiltin="1"/>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E28F-4BB3-4513-A32D-B6C3A1CC605B}">
  <sheetPr codeName="Sheet1"/>
  <dimension ref="A1:L45"/>
  <sheetViews>
    <sheetView tabSelected="1" zoomScaleNormal="100" workbookViewId="0">
      <pane ySplit="2" topLeftCell="A3" activePane="bottomLeft" state="frozen"/>
      <selection pane="bottomLeft" activeCell="A3" sqref="A3"/>
    </sheetView>
  </sheetViews>
  <sheetFormatPr defaultRowHeight="12.75"/>
  <cols>
    <col min="1" max="1" width="23.140625" customWidth="1"/>
    <col min="2" max="2" width="14.85546875" bestFit="1" customWidth="1"/>
    <col min="3" max="6" width="10" bestFit="1" customWidth="1"/>
    <col min="7" max="7" width="11" bestFit="1" customWidth="1"/>
    <col min="8" max="9" width="10" bestFit="1" customWidth="1"/>
    <col min="10" max="10" width="11" bestFit="1" customWidth="1"/>
    <col min="11" max="11" width="10" bestFit="1" customWidth="1"/>
    <col min="12" max="12" width="13.7109375" customWidth="1"/>
  </cols>
  <sheetData>
    <row r="1" spans="1:12">
      <c r="A1" s="1"/>
      <c r="B1" s="1"/>
      <c r="C1" s="1">
        <v>2024</v>
      </c>
      <c r="D1" s="18">
        <v>2025</v>
      </c>
      <c r="E1" s="19"/>
      <c r="F1" s="18">
        <v>2026</v>
      </c>
      <c r="G1" s="19"/>
      <c r="H1" s="19"/>
      <c r="I1" s="19"/>
      <c r="J1" s="19"/>
      <c r="K1" s="20"/>
      <c r="L1" s="1"/>
    </row>
    <row r="2" spans="1:12">
      <c r="A2" s="1" t="s">
        <v>0</v>
      </c>
      <c r="B2" s="1" t="s">
        <v>1</v>
      </c>
      <c r="C2" s="1" t="s">
        <v>2</v>
      </c>
      <c r="D2" s="7" t="s">
        <v>2</v>
      </c>
      <c r="E2" s="1" t="s">
        <v>3</v>
      </c>
      <c r="F2" s="7" t="s">
        <v>4</v>
      </c>
      <c r="G2" s="1" t="s">
        <v>5</v>
      </c>
      <c r="H2" s="1" t="s">
        <v>6</v>
      </c>
      <c r="I2" s="1" t="s">
        <v>7</v>
      </c>
      <c r="J2" s="1" t="s">
        <v>2</v>
      </c>
      <c r="K2" s="14" t="s">
        <v>3</v>
      </c>
      <c r="L2" s="1" t="s">
        <v>8</v>
      </c>
    </row>
    <row r="3" spans="1:12">
      <c r="A3" t="s">
        <v>9</v>
      </c>
      <c r="C3" s="4"/>
      <c r="D3" s="8"/>
      <c r="E3" s="9"/>
      <c r="F3" s="8"/>
      <c r="G3" s="9"/>
      <c r="H3" s="9"/>
      <c r="I3" s="9"/>
      <c r="J3" s="9"/>
      <c r="K3" s="15"/>
    </row>
    <row r="4" spans="1:12">
      <c r="C4" s="4"/>
      <c r="D4" s="8"/>
      <c r="E4" s="9"/>
      <c r="F4" s="8"/>
      <c r="G4" s="9"/>
      <c r="H4" s="9"/>
      <c r="I4" s="9"/>
      <c r="J4" s="9"/>
      <c r="K4" s="15"/>
    </row>
    <row r="5" spans="1:12">
      <c r="A5" s="3" t="s">
        <v>10</v>
      </c>
      <c r="B5" s="3"/>
      <c r="C5" s="5"/>
      <c r="D5" s="10"/>
      <c r="E5" s="11"/>
      <c r="F5" s="10"/>
      <c r="G5" s="11"/>
      <c r="H5" s="11"/>
      <c r="I5" s="11"/>
      <c r="J5" s="11"/>
      <c r="K5" s="16"/>
    </row>
    <row r="6" spans="1:12">
      <c r="A6" t="s">
        <v>11</v>
      </c>
      <c r="C6" s="4">
        <v>0</v>
      </c>
      <c r="D6" s="8">
        <v>0</v>
      </c>
      <c r="E6" s="9">
        <v>0</v>
      </c>
      <c r="F6" s="8">
        <v>5000</v>
      </c>
      <c r="G6" s="9">
        <v>10000</v>
      </c>
      <c r="H6" s="9">
        <v>0</v>
      </c>
      <c r="I6" s="9">
        <v>0</v>
      </c>
      <c r="J6" s="9">
        <f>SUM(F6:I6)</f>
        <v>15000</v>
      </c>
      <c r="K6" s="15">
        <v>10306.5</v>
      </c>
      <c r="L6" t="s">
        <v>12</v>
      </c>
    </row>
    <row r="7" spans="1:12">
      <c r="A7" t="s">
        <v>13</v>
      </c>
      <c r="C7" s="4">
        <v>0</v>
      </c>
      <c r="D7" s="8">
        <v>0</v>
      </c>
      <c r="E7" s="9">
        <v>0</v>
      </c>
      <c r="F7" s="8">
        <v>17500</v>
      </c>
      <c r="G7" s="9">
        <v>26950</v>
      </c>
      <c r="H7" s="9">
        <v>31950</v>
      </c>
      <c r="I7" s="9">
        <v>31950</v>
      </c>
      <c r="J7" s="9">
        <f t="shared" ref="J7:J33" si="0">SUM(F7:I7)</f>
        <v>108350</v>
      </c>
      <c r="K7" s="15">
        <v>53910</v>
      </c>
      <c r="L7" t="s">
        <v>14</v>
      </c>
    </row>
    <row r="8" spans="1:12">
      <c r="A8" t="s">
        <v>15</v>
      </c>
      <c r="C8" s="4">
        <v>546884</v>
      </c>
      <c r="D8" s="8">
        <v>411812</v>
      </c>
      <c r="E8" s="9">
        <v>53239</v>
      </c>
      <c r="F8" s="8">
        <v>90000</v>
      </c>
      <c r="G8" s="9">
        <v>90000</v>
      </c>
      <c r="H8" s="9">
        <v>96700</v>
      </c>
      <c r="I8" s="9">
        <v>100050</v>
      </c>
      <c r="J8" s="9">
        <f t="shared" si="0"/>
        <v>376750</v>
      </c>
      <c r="K8" s="15">
        <v>54732</v>
      </c>
      <c r="L8" t="s">
        <v>16</v>
      </c>
    </row>
    <row r="9" spans="1:12">
      <c r="A9" t="s">
        <v>17</v>
      </c>
      <c r="C9" s="4">
        <v>30190</v>
      </c>
      <c r="D9" s="8">
        <v>24990</v>
      </c>
      <c r="E9" s="9">
        <v>16347</v>
      </c>
      <c r="F9" s="8">
        <v>5702</v>
      </c>
      <c r="G9" s="9">
        <v>0</v>
      </c>
      <c r="H9" s="9">
        <v>0</v>
      </c>
      <c r="I9" s="9">
        <v>0</v>
      </c>
      <c r="J9" s="9">
        <f t="shared" si="0"/>
        <v>5702</v>
      </c>
      <c r="K9" s="15">
        <v>3155</v>
      </c>
      <c r="L9" t="s">
        <v>18</v>
      </c>
    </row>
    <row r="10" spans="1:12">
      <c r="A10" t="s">
        <v>19</v>
      </c>
      <c r="C10" s="4">
        <v>7500</v>
      </c>
      <c r="D10" s="8">
        <v>7500</v>
      </c>
      <c r="E10" s="9">
        <v>5826</v>
      </c>
      <c r="F10" s="8">
        <v>7500</v>
      </c>
      <c r="G10" s="9">
        <v>0</v>
      </c>
      <c r="H10" s="9">
        <v>0</v>
      </c>
      <c r="I10" s="9">
        <v>0</v>
      </c>
      <c r="J10" s="9">
        <f t="shared" si="0"/>
        <v>7500</v>
      </c>
      <c r="K10" s="15">
        <v>5088</v>
      </c>
      <c r="L10" t="s">
        <v>20</v>
      </c>
    </row>
    <row r="11" spans="1:12">
      <c r="A11" t="s">
        <v>21</v>
      </c>
      <c r="C11" s="4">
        <v>1099676</v>
      </c>
      <c r="D11" s="8">
        <v>1854931</v>
      </c>
      <c r="E11" s="9">
        <v>732194.62</v>
      </c>
      <c r="F11" s="8">
        <v>507649</v>
      </c>
      <c r="G11" s="9">
        <v>510585</v>
      </c>
      <c r="H11" s="9">
        <v>497400</v>
      </c>
      <c r="I11" s="9">
        <v>546900</v>
      </c>
      <c r="J11" s="9">
        <f t="shared" si="0"/>
        <v>2062534</v>
      </c>
      <c r="K11" s="15">
        <v>756580</v>
      </c>
      <c r="L11" t="s">
        <v>22</v>
      </c>
    </row>
    <row r="12" spans="1:12">
      <c r="A12" t="s">
        <v>23</v>
      </c>
      <c r="C12" s="4">
        <v>604000</v>
      </c>
      <c r="D12" s="8">
        <v>468000</v>
      </c>
      <c r="E12" s="9">
        <v>267468</v>
      </c>
      <c r="F12" s="8">
        <v>117000</v>
      </c>
      <c r="G12" s="9">
        <v>117000</v>
      </c>
      <c r="H12" s="9">
        <v>117000</v>
      </c>
      <c r="I12" s="9">
        <v>117000</v>
      </c>
      <c r="J12" s="9">
        <f t="shared" si="0"/>
        <v>468000</v>
      </c>
      <c r="K12" s="15">
        <v>262704</v>
      </c>
      <c r="L12" t="s">
        <v>24</v>
      </c>
    </row>
    <row r="13" spans="1:12">
      <c r="A13" t="s">
        <v>25</v>
      </c>
      <c r="C13" s="4">
        <v>424016</v>
      </c>
      <c r="D13" s="8">
        <v>413786</v>
      </c>
      <c r="E13" s="9">
        <v>211248</v>
      </c>
      <c r="F13" s="8">
        <v>73250</v>
      </c>
      <c r="G13" s="9">
        <v>40950</v>
      </c>
      <c r="H13" s="9">
        <v>18900</v>
      </c>
      <c r="I13" s="9">
        <v>48000</v>
      </c>
      <c r="J13" s="9">
        <f t="shared" si="0"/>
        <v>181100</v>
      </c>
      <c r="K13" s="15">
        <v>64642.68</v>
      </c>
      <c r="L13" t="s">
        <v>26</v>
      </c>
    </row>
    <row r="14" spans="1:12">
      <c r="A14" t="s">
        <v>27</v>
      </c>
      <c r="C14" s="4">
        <v>543456</v>
      </c>
      <c r="D14" s="8">
        <v>546277</v>
      </c>
      <c r="E14" s="9">
        <v>197758</v>
      </c>
      <c r="F14" s="8">
        <v>116000</v>
      </c>
      <c r="G14" s="9">
        <v>2770</v>
      </c>
      <c r="H14" s="9">
        <v>131770</v>
      </c>
      <c r="I14" s="9">
        <v>0</v>
      </c>
      <c r="J14" s="9">
        <f t="shared" si="0"/>
        <v>250540</v>
      </c>
      <c r="K14" s="15">
        <v>141340.99</v>
      </c>
      <c r="L14" t="s">
        <v>28</v>
      </c>
    </row>
    <row r="15" spans="1:12">
      <c r="A15" t="s">
        <v>29</v>
      </c>
      <c r="C15" s="4"/>
      <c r="D15" s="8">
        <v>49250</v>
      </c>
      <c r="E15" s="9">
        <v>12597</v>
      </c>
      <c r="F15" s="8">
        <v>13250</v>
      </c>
      <c r="G15" s="9">
        <v>12000</v>
      </c>
      <c r="H15" s="9">
        <v>12000</v>
      </c>
      <c r="I15" s="9">
        <v>12000</v>
      </c>
      <c r="J15" s="9">
        <f t="shared" si="0"/>
        <v>49250</v>
      </c>
      <c r="K15" s="15">
        <v>13070</v>
      </c>
      <c r="L15" t="s">
        <v>30</v>
      </c>
    </row>
    <row r="16" spans="1:12">
      <c r="A16" t="s">
        <v>31</v>
      </c>
      <c r="C16" s="4">
        <v>829892</v>
      </c>
      <c r="D16" s="8">
        <v>911397</v>
      </c>
      <c r="E16" s="9">
        <v>419198</v>
      </c>
      <c r="F16" s="8">
        <v>184231</v>
      </c>
      <c r="G16" s="9">
        <v>151935</v>
      </c>
      <c r="H16" s="9">
        <v>169120</v>
      </c>
      <c r="I16" s="9">
        <v>169120</v>
      </c>
      <c r="J16" s="9">
        <f t="shared" si="0"/>
        <v>674406</v>
      </c>
      <c r="K16" s="15">
        <v>293951</v>
      </c>
      <c r="L16" t="s">
        <v>32</v>
      </c>
    </row>
    <row r="17" spans="1:12">
      <c r="A17" t="s">
        <v>33</v>
      </c>
      <c r="C17" s="4">
        <v>86428</v>
      </c>
      <c r="D17" s="8">
        <v>84100</v>
      </c>
      <c r="E17" s="9">
        <v>26925</v>
      </c>
      <c r="F17" s="8">
        <v>21000</v>
      </c>
      <c r="G17" s="9">
        <v>21000</v>
      </c>
      <c r="H17" s="9">
        <v>21000</v>
      </c>
      <c r="I17" s="9">
        <v>21000</v>
      </c>
      <c r="J17" s="9">
        <f t="shared" si="0"/>
        <v>84000</v>
      </c>
      <c r="K17" s="15">
        <v>24252</v>
      </c>
      <c r="L17" t="s">
        <v>34</v>
      </c>
    </row>
    <row r="18" spans="1:12">
      <c r="A18" t="s">
        <v>35</v>
      </c>
      <c r="C18" s="4">
        <v>18000</v>
      </c>
      <c r="D18" s="8">
        <v>35000</v>
      </c>
      <c r="E18" s="9">
        <v>10000</v>
      </c>
      <c r="F18" s="8">
        <v>0</v>
      </c>
      <c r="G18" s="9">
        <v>27300</v>
      </c>
      <c r="H18" s="9">
        <v>0</v>
      </c>
      <c r="I18" s="9">
        <v>0</v>
      </c>
      <c r="J18" s="9">
        <f t="shared" si="0"/>
        <v>27300</v>
      </c>
      <c r="K18" s="15">
        <v>12628</v>
      </c>
    </row>
    <row r="19" spans="1:12">
      <c r="A19" t="s">
        <v>36</v>
      </c>
      <c r="C19" s="4">
        <v>192000</v>
      </c>
      <c r="D19" s="8">
        <v>192000</v>
      </c>
      <c r="E19" s="9">
        <v>85101</v>
      </c>
      <c r="F19" s="8">
        <v>41340</v>
      </c>
      <c r="G19" s="9">
        <v>41340</v>
      </c>
      <c r="H19" s="9">
        <v>41340</v>
      </c>
      <c r="I19" s="9">
        <v>41340</v>
      </c>
      <c r="J19" s="9">
        <f t="shared" si="0"/>
        <v>165360</v>
      </c>
      <c r="K19" s="15">
        <v>54120</v>
      </c>
      <c r="L19" t="s">
        <v>37</v>
      </c>
    </row>
    <row r="20" spans="1:12">
      <c r="A20" t="s">
        <v>38</v>
      </c>
      <c r="C20" s="4">
        <v>188454</v>
      </c>
      <c r="D20" s="8">
        <v>193200</v>
      </c>
      <c r="E20" s="9">
        <v>64901</v>
      </c>
      <c r="F20" s="8">
        <v>57090</v>
      </c>
      <c r="G20" s="9">
        <v>57090</v>
      </c>
      <c r="H20" s="9">
        <v>57090</v>
      </c>
      <c r="I20" s="9">
        <v>57090</v>
      </c>
      <c r="J20" s="9">
        <f t="shared" si="0"/>
        <v>228360</v>
      </c>
      <c r="K20" s="15">
        <v>85752</v>
      </c>
      <c r="L20" t="s">
        <v>39</v>
      </c>
    </row>
    <row r="21" spans="1:12">
      <c r="A21" t="s">
        <v>40</v>
      </c>
      <c r="C21" s="4">
        <v>551110</v>
      </c>
      <c r="D21" s="8">
        <v>503752</v>
      </c>
      <c r="E21" s="9">
        <v>262689</v>
      </c>
      <c r="F21" s="8">
        <v>84575</v>
      </c>
      <c r="G21" s="9">
        <v>83925</v>
      </c>
      <c r="H21" s="9">
        <v>83925</v>
      </c>
      <c r="I21" s="9">
        <v>83925</v>
      </c>
      <c r="J21" s="9">
        <f t="shared" si="0"/>
        <v>336350</v>
      </c>
      <c r="K21" s="15">
        <v>171374</v>
      </c>
      <c r="L21" t="s">
        <v>41</v>
      </c>
    </row>
    <row r="22" spans="1:12">
      <c r="A22" t="s">
        <v>42</v>
      </c>
      <c r="C22" s="4">
        <v>200992</v>
      </c>
      <c r="D22" s="8">
        <v>199992</v>
      </c>
      <c r="E22" s="9">
        <v>16452</v>
      </c>
      <c r="F22" s="8">
        <v>49998</v>
      </c>
      <c r="G22" s="9">
        <v>49998</v>
      </c>
      <c r="H22" s="9">
        <v>49998</v>
      </c>
      <c r="I22" s="9">
        <v>49998</v>
      </c>
      <c r="J22" s="9">
        <f t="shared" si="0"/>
        <v>199992</v>
      </c>
      <c r="K22" s="15">
        <v>20736</v>
      </c>
      <c r="L22" t="s">
        <v>43</v>
      </c>
    </row>
    <row r="23" spans="1:12">
      <c r="A23" t="s">
        <v>44</v>
      </c>
      <c r="C23" s="4">
        <v>486086</v>
      </c>
      <c r="D23" s="8">
        <v>533400</v>
      </c>
      <c r="E23" s="9">
        <v>201192</v>
      </c>
      <c r="F23" s="8">
        <v>104600</v>
      </c>
      <c r="G23" s="9">
        <v>95400</v>
      </c>
      <c r="H23" s="9">
        <v>95400</v>
      </c>
      <c r="I23" s="9">
        <v>95400</v>
      </c>
      <c r="J23" s="9">
        <f t="shared" si="0"/>
        <v>390800</v>
      </c>
      <c r="K23" s="15">
        <v>145148</v>
      </c>
      <c r="L23" t="s">
        <v>45</v>
      </c>
    </row>
    <row r="24" spans="1:12">
      <c r="A24" t="s">
        <v>46</v>
      </c>
      <c r="C24" s="4">
        <v>29847</v>
      </c>
      <c r="D24" s="8">
        <v>58661</v>
      </c>
      <c r="E24" s="9">
        <v>14188</v>
      </c>
      <c r="F24" s="8">
        <v>14440</v>
      </c>
      <c r="G24" s="9">
        <v>13640</v>
      </c>
      <c r="H24" s="9">
        <v>13500</v>
      </c>
      <c r="I24" s="9">
        <v>13500</v>
      </c>
      <c r="J24" s="9">
        <f t="shared" si="0"/>
        <v>55080</v>
      </c>
      <c r="K24" s="15">
        <v>10704</v>
      </c>
      <c r="L24" t="s">
        <v>47</v>
      </c>
    </row>
    <row r="25" spans="1:12">
      <c r="A25" t="s">
        <v>48</v>
      </c>
      <c r="C25" s="4"/>
      <c r="D25" s="8"/>
      <c r="E25" s="9"/>
      <c r="F25" s="8">
        <v>0</v>
      </c>
      <c r="G25" s="9">
        <v>0</v>
      </c>
      <c r="H25" s="9">
        <v>0</v>
      </c>
      <c r="I25" s="9">
        <v>0</v>
      </c>
      <c r="J25" s="9">
        <f t="shared" si="0"/>
        <v>0</v>
      </c>
      <c r="K25" s="15">
        <v>-98932</v>
      </c>
    </row>
    <row r="26" spans="1:12">
      <c r="A26" t="s">
        <v>49</v>
      </c>
      <c r="C26" s="4"/>
      <c r="D26" s="8"/>
      <c r="E26" s="9"/>
      <c r="F26" s="8">
        <v>0</v>
      </c>
      <c r="G26" s="9">
        <v>0</v>
      </c>
      <c r="H26" s="9">
        <v>0</v>
      </c>
      <c r="I26" s="9">
        <v>0</v>
      </c>
      <c r="J26" s="9">
        <f t="shared" si="0"/>
        <v>0</v>
      </c>
      <c r="K26" s="15">
        <v>-210006</v>
      </c>
    </row>
    <row r="27" spans="1:12">
      <c r="A27" t="s">
        <v>50</v>
      </c>
      <c r="C27" s="4"/>
      <c r="D27" s="8"/>
      <c r="E27" s="9"/>
      <c r="F27" s="8">
        <v>0</v>
      </c>
      <c r="G27" s="9">
        <v>0</v>
      </c>
      <c r="H27" s="9">
        <v>0</v>
      </c>
      <c r="I27" s="9">
        <v>0</v>
      </c>
      <c r="J27" s="9">
        <f t="shared" si="0"/>
        <v>0</v>
      </c>
      <c r="K27" s="15">
        <v>-20576</v>
      </c>
    </row>
    <row r="28" spans="1:12">
      <c r="A28" t="s">
        <v>51</v>
      </c>
      <c r="C28" s="4"/>
      <c r="D28" s="8"/>
      <c r="E28" s="9"/>
      <c r="F28" s="8">
        <v>0</v>
      </c>
      <c r="G28" s="9">
        <v>0</v>
      </c>
      <c r="H28" s="9">
        <v>0</v>
      </c>
      <c r="I28" s="9">
        <v>0</v>
      </c>
      <c r="J28" s="9">
        <f t="shared" si="0"/>
        <v>0</v>
      </c>
      <c r="K28" s="15">
        <v>-9806</v>
      </c>
    </row>
    <row r="29" spans="1:12">
      <c r="A29" t="s">
        <v>52</v>
      </c>
      <c r="C29" s="4"/>
      <c r="D29" s="8"/>
      <c r="E29" s="9"/>
      <c r="F29" s="8">
        <v>0</v>
      </c>
      <c r="G29" s="9">
        <v>0</v>
      </c>
      <c r="H29" s="9">
        <v>0</v>
      </c>
      <c r="I29" s="9">
        <v>0</v>
      </c>
      <c r="J29" s="9">
        <f t="shared" si="0"/>
        <v>0</v>
      </c>
      <c r="K29" s="15">
        <v>-6338</v>
      </c>
    </row>
    <row r="30" spans="1:12">
      <c r="A30" t="s">
        <v>53</v>
      </c>
      <c r="C30" s="4"/>
      <c r="D30" s="8"/>
      <c r="E30" s="9"/>
      <c r="F30" s="8">
        <v>0</v>
      </c>
      <c r="G30" s="9">
        <v>0</v>
      </c>
      <c r="H30" s="9">
        <v>0</v>
      </c>
      <c r="I30" s="9">
        <v>0</v>
      </c>
      <c r="J30" s="9">
        <f t="shared" si="0"/>
        <v>0</v>
      </c>
      <c r="K30" s="15">
        <v>-13002</v>
      </c>
    </row>
    <row r="31" spans="1:12">
      <c r="A31" t="s">
        <v>54</v>
      </c>
      <c r="C31" s="4"/>
      <c r="D31" s="8"/>
      <c r="E31" s="9"/>
      <c r="F31" s="8">
        <v>0</v>
      </c>
      <c r="G31" s="9">
        <v>0</v>
      </c>
      <c r="H31" s="9">
        <v>0</v>
      </c>
      <c r="I31" s="9">
        <v>0</v>
      </c>
      <c r="J31" s="9">
        <f t="shared" si="0"/>
        <v>0</v>
      </c>
      <c r="K31" s="15">
        <v>-1619</v>
      </c>
    </row>
    <row r="32" spans="1:12">
      <c r="A32" t="s">
        <v>55</v>
      </c>
      <c r="C32" s="4"/>
      <c r="D32" s="8"/>
      <c r="E32" s="9"/>
      <c r="F32" s="8">
        <v>0</v>
      </c>
      <c r="G32" s="9">
        <v>0</v>
      </c>
      <c r="H32" s="9">
        <v>0</v>
      </c>
      <c r="I32" s="9">
        <v>0</v>
      </c>
      <c r="J32" s="9">
        <f t="shared" si="0"/>
        <v>0</v>
      </c>
      <c r="K32" s="15">
        <v>-68947</v>
      </c>
    </row>
    <row r="33" spans="1:12">
      <c r="A33" t="s">
        <v>56</v>
      </c>
      <c r="C33" s="4"/>
      <c r="D33" s="8"/>
      <c r="E33" s="9"/>
      <c r="F33" s="8">
        <v>0</v>
      </c>
      <c r="G33" s="9">
        <v>0</v>
      </c>
      <c r="H33" s="9">
        <v>0</v>
      </c>
      <c r="I33" s="9">
        <v>0</v>
      </c>
      <c r="J33" s="9">
        <f t="shared" si="0"/>
        <v>0</v>
      </c>
      <c r="K33" s="15">
        <v>-115312</v>
      </c>
    </row>
    <row r="34" spans="1:12">
      <c r="C34" s="4"/>
      <c r="D34" s="8"/>
      <c r="E34" s="9"/>
      <c r="F34" s="8"/>
      <c r="G34" s="9"/>
      <c r="H34" s="9"/>
      <c r="I34" s="9"/>
      <c r="J34" s="9"/>
      <c r="K34" s="15"/>
    </row>
    <row r="35" spans="1:12">
      <c r="A35" s="2" t="s">
        <v>57</v>
      </c>
      <c r="B35" s="2"/>
      <c r="C35" s="6">
        <f t="shared" ref="C35:K35" si="1">SUM(C6:C34)</f>
        <v>5838531</v>
      </c>
      <c r="D35" s="12">
        <f t="shared" si="1"/>
        <v>6488048</v>
      </c>
      <c r="E35" s="13">
        <f t="shared" si="1"/>
        <v>2597323.62</v>
      </c>
      <c r="F35" s="12">
        <f t="shared" si="1"/>
        <v>1510125</v>
      </c>
      <c r="G35" s="13">
        <f t="shared" si="1"/>
        <v>1351883</v>
      </c>
      <c r="H35" s="13">
        <f t="shared" si="1"/>
        <v>1437093</v>
      </c>
      <c r="I35" s="13">
        <f t="shared" si="1"/>
        <v>1387273</v>
      </c>
      <c r="J35" s="13">
        <f t="shared" si="1"/>
        <v>5686374</v>
      </c>
      <c r="K35" s="17">
        <f t="shared" si="1"/>
        <v>1639656.17</v>
      </c>
    </row>
    <row r="36" spans="1:12">
      <c r="C36" s="4"/>
      <c r="D36" s="8"/>
      <c r="E36" s="9"/>
      <c r="F36" s="8"/>
      <c r="G36" s="9"/>
      <c r="H36" s="9"/>
      <c r="I36" s="9"/>
      <c r="J36" s="9"/>
      <c r="K36" s="15"/>
    </row>
    <row r="37" spans="1:12">
      <c r="A37" s="3" t="s">
        <v>58</v>
      </c>
      <c r="B37" s="3"/>
      <c r="C37" s="5"/>
      <c r="D37" s="10"/>
      <c r="E37" s="11"/>
      <c r="F37" s="10"/>
      <c r="G37" s="11"/>
      <c r="H37" s="11"/>
      <c r="I37" s="11"/>
      <c r="J37" s="11"/>
      <c r="K37" s="16"/>
    </row>
    <row r="38" spans="1:12">
      <c r="C38" s="4"/>
      <c r="D38" s="8"/>
      <c r="E38" s="9"/>
      <c r="F38" s="8"/>
      <c r="G38" s="9"/>
      <c r="H38" s="9"/>
      <c r="I38" s="9"/>
      <c r="J38" s="9"/>
      <c r="K38" s="15"/>
    </row>
    <row r="39" spans="1:12">
      <c r="A39" t="s">
        <v>31</v>
      </c>
      <c r="B39" t="s">
        <v>59</v>
      </c>
      <c r="C39" s="4">
        <v>1708784</v>
      </c>
      <c r="D39" s="8">
        <v>1544346</v>
      </c>
      <c r="E39" s="9">
        <v>125299</v>
      </c>
      <c r="F39" s="8">
        <v>320038.8</v>
      </c>
      <c r="G39" s="9">
        <v>344692</v>
      </c>
      <c r="H39" s="9">
        <v>330653</v>
      </c>
      <c r="I39" s="9">
        <v>319275</v>
      </c>
      <c r="J39" s="9">
        <f>SUM(F39:I39)</f>
        <v>1314658.8</v>
      </c>
      <c r="K39" s="15">
        <v>107914.39</v>
      </c>
      <c r="L39" t="s">
        <v>60</v>
      </c>
    </row>
    <row r="40" spans="1:12">
      <c r="A40" t="s">
        <v>61</v>
      </c>
      <c r="B40" t="s">
        <v>62</v>
      </c>
      <c r="C40" s="4">
        <v>191096</v>
      </c>
      <c r="D40" s="8">
        <v>214212</v>
      </c>
      <c r="E40" s="9">
        <v>81268</v>
      </c>
      <c r="F40" s="8">
        <v>34020.15</v>
      </c>
      <c r="G40" s="9">
        <v>33929.69</v>
      </c>
      <c r="H40" s="9">
        <v>32938</v>
      </c>
      <c r="I40" s="9">
        <v>31805</v>
      </c>
      <c r="J40" s="9">
        <f t="shared" ref="J40:J42" si="2">SUM(F40:I40)</f>
        <v>132692.84</v>
      </c>
      <c r="K40" s="15">
        <v>50033.09</v>
      </c>
    </row>
    <row r="41" spans="1:12">
      <c r="A41" t="s">
        <v>63</v>
      </c>
      <c r="B41" t="s">
        <v>64</v>
      </c>
      <c r="C41" s="4">
        <v>0</v>
      </c>
      <c r="D41" s="8">
        <v>81472</v>
      </c>
      <c r="E41" s="9">
        <v>7558</v>
      </c>
      <c r="F41" s="8">
        <v>65526</v>
      </c>
      <c r="G41" s="9">
        <v>67230</v>
      </c>
      <c r="H41" s="9">
        <v>62775</v>
      </c>
      <c r="I41" s="9">
        <v>60615</v>
      </c>
      <c r="J41" s="9">
        <f t="shared" si="2"/>
        <v>256146</v>
      </c>
      <c r="K41" s="15">
        <v>28828</v>
      </c>
      <c r="L41" t="s">
        <v>65</v>
      </c>
    </row>
    <row r="42" spans="1:12">
      <c r="A42" t="s">
        <v>21</v>
      </c>
      <c r="B42" t="s">
        <v>59</v>
      </c>
      <c r="C42" s="4">
        <v>0</v>
      </c>
      <c r="D42" s="8">
        <v>59904</v>
      </c>
      <c r="E42" s="9">
        <v>19344</v>
      </c>
      <c r="F42" s="8">
        <v>44544</v>
      </c>
      <c r="G42" s="9">
        <v>48576</v>
      </c>
      <c r="H42" s="9">
        <v>44640</v>
      </c>
      <c r="I42" s="9">
        <v>43104</v>
      </c>
      <c r="J42" s="9">
        <f t="shared" si="2"/>
        <v>180864</v>
      </c>
      <c r="K42" s="15">
        <v>41592</v>
      </c>
      <c r="L42" t="s">
        <v>66</v>
      </c>
    </row>
    <row r="43" spans="1:12">
      <c r="C43" s="4"/>
      <c r="D43" s="8"/>
      <c r="E43" s="9"/>
      <c r="F43" s="8"/>
      <c r="G43" s="9"/>
      <c r="H43" s="9"/>
      <c r="I43" s="9"/>
      <c r="J43" s="9"/>
      <c r="K43" s="15"/>
    </row>
    <row r="44" spans="1:12">
      <c r="C44" s="4"/>
      <c r="D44" s="8"/>
      <c r="E44" s="9"/>
      <c r="F44" s="8"/>
      <c r="G44" s="9"/>
      <c r="H44" s="9"/>
      <c r="I44" s="9"/>
      <c r="J44" s="9"/>
      <c r="K44" s="15"/>
    </row>
    <row r="45" spans="1:12">
      <c r="A45" s="2" t="s">
        <v>67</v>
      </c>
      <c r="B45" s="2"/>
      <c r="C45" s="6">
        <f t="shared" ref="C45:K45" si="3">SUM(C38:C44)</f>
        <v>1899880</v>
      </c>
      <c r="D45" s="12">
        <f t="shared" si="3"/>
        <v>1899934</v>
      </c>
      <c r="E45" s="13">
        <f t="shared" si="3"/>
        <v>233469</v>
      </c>
      <c r="F45" s="12">
        <f t="shared" si="3"/>
        <v>464128.95</v>
      </c>
      <c r="G45" s="13">
        <f t="shared" si="3"/>
        <v>494427.69</v>
      </c>
      <c r="H45" s="13">
        <f t="shared" si="3"/>
        <v>471006</v>
      </c>
      <c r="I45" s="13">
        <f t="shared" si="3"/>
        <v>454799</v>
      </c>
      <c r="J45" s="13">
        <f t="shared" si="3"/>
        <v>1884361.6400000001</v>
      </c>
      <c r="K45" s="17">
        <f t="shared" si="3"/>
        <v>228367.47999999998</v>
      </c>
    </row>
  </sheetData>
  <mergeCells count="2">
    <mergeCell ref="D1:E1"/>
    <mergeCell ref="F1:K1"/>
  </mergeCells>
  <pageMargins left="0.7" right="0.7" top="0.75" bottom="0.75" header="0.3" footer="0.3"/>
  <pageSetup orientation="portrait" r:id="rId1"/>
  <ignoredErrors>
    <ignoredError sqref="F35:I36 F44:I45 F37:I38 J8:J11 J6:J7 J25:J33 J39:J42 J12:J24" formulaRange="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Sunil Lathar</dc:creator>
  <cp:keywords/>
  <dc:description/>
  <cp:lastModifiedBy>Manmeet Singh Anand</cp:lastModifiedBy>
  <cp:revision/>
  <dcterms:created xsi:type="dcterms:W3CDTF">2026-03-25T14:43:57Z</dcterms:created>
  <dcterms:modified xsi:type="dcterms:W3CDTF">2026-07-01T17:11:55Z</dcterms:modified>
  <cp:category/>
  <cp:contentStatus/>
</cp:coreProperties>
</file>