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hidePivotFieldList="1"/>
  <mc:AlternateContent xmlns:mc="http://schemas.openxmlformats.org/markup-compatibility/2006">
    <mc:Choice Requires="x15">
      <x15ac:absPath xmlns:x15ac="http://schemas.microsoft.com/office/spreadsheetml/2010/11/ac" url="https://nvish-my.sharepoint.com/personal/hr_docs_nvish_com/Documents/SOWs_Purchase_Orders/"/>
    </mc:Choice>
  </mc:AlternateContent>
  <xr:revisionPtr revIDLastSave="0" documentId="8_{7DACBEC1-D9FD-4C37-9F99-DA28C6AE5648}" xr6:coauthVersionLast="47" xr6:coauthVersionMax="47" xr10:uidLastSave="{00000000-0000-0000-0000-000000000000}"/>
  <bookViews>
    <workbookView xWindow="-120" yWindow="-120" windowWidth="29040" windowHeight="15720" tabRatio="787" firstSheet="4" activeTab="4" xr2:uid="{00000000-000D-0000-FFFF-FFFF00000000}"/>
  </bookViews>
  <sheets>
    <sheet name="Staffing_2026" sheetId="22" r:id="rId1"/>
    <sheet name="Staffing_Backup_260218" sheetId="21" state="hidden" r:id="rId2"/>
    <sheet name="Sales by Customer- 2026" sheetId="16" r:id="rId3"/>
    <sheet name="2026_ClientComments" sheetId="19" r:id="rId4"/>
    <sheet name="Sales by Customer- 2025" sheetId="11" r:id="rId5"/>
    <sheet name="Working Days 2026" sheetId="25" r:id="rId6"/>
    <sheet name="Working Days" sheetId="7" r:id="rId7"/>
    <sheet name="Archived" sheetId="15" r:id="rId8"/>
    <sheet name="Salary Projections 2026" sheetId="18" r:id="rId9"/>
    <sheet name="Salary Projections 2026 (copy)" sheetId="23" r:id="rId10"/>
    <sheet name="Action Items - 2026" sheetId="17" r:id="rId11"/>
    <sheet name="HPE SOW Staffing" sheetId="14" r:id="rId12"/>
    <sheet name="Sales by Customer- 2024" sheetId="2" r:id="rId13"/>
    <sheet name="Customer Meeting Prep" sheetId="20" r:id="rId14"/>
    <sheet name="Sheet1" sheetId="6" state="hidden" r:id="rId15"/>
    <sheet name="Sheet2" sheetId="10" state="hidden" r:id="rId16"/>
    <sheet name="BD - MS" sheetId="5" r:id="rId17"/>
    <sheet name="BD - RM" sheetId="12" r:id="rId18"/>
    <sheet name="Databricks Staff in US" sheetId="13" r:id="rId19"/>
    <sheet name="2026_ClientComments (2)" sheetId="24" state="hidden" r:id="rId20"/>
  </sheets>
  <definedNames>
    <definedName name="_xlnm._FilterDatabase" localSheetId="8" hidden="1">'Salary Projections 2026'!$A$1:$D$31</definedName>
    <definedName name="_xlnm._FilterDatabase" localSheetId="9" hidden="1">'Salary Projections 2026 (copy)'!$A$1:$D$31</definedName>
    <definedName name="_xlnm._FilterDatabase" localSheetId="12" hidden="1">'Sales by Customer- 2024'!$A$6:$S$6</definedName>
    <definedName name="_xlnm._FilterDatabase" localSheetId="4" hidden="1">'Sales by Customer- 2025'!$A$9:$AS$65</definedName>
    <definedName name="_xlnm._FilterDatabase" localSheetId="14" hidden="1">Sheet1!$A$1:$C$38</definedName>
    <definedName name="_xlnm._FilterDatabase" localSheetId="1" hidden="1">Staffing_Backup_260218!$A$2:$T$35</definedName>
    <definedName name="_xlnm._FilterDatabase" localSheetId="2" hidden="1">'Sales by Customer- 2026'!$A$2:$AO$56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44445.7446759259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3" i="16" l="1"/>
  <c r="U23" i="16"/>
  <c r="D18" i="18"/>
  <c r="C18" i="18"/>
  <c r="V43" i="16"/>
  <c r="D8" i="18"/>
  <c r="T22" i="16"/>
  <c r="AK45" i="16"/>
  <c r="AH45" i="16"/>
  <c r="AE45" i="16"/>
  <c r="AB45" i="16"/>
  <c r="Y45" i="16"/>
  <c r="V45" i="16"/>
  <c r="Q22" i="16"/>
  <c r="AM69" i="11"/>
  <c r="AK69" i="11"/>
  <c r="AJ69" i="11"/>
  <c r="AH69" i="11"/>
  <c r="AG69" i="11"/>
  <c r="AE69" i="11"/>
  <c r="AD69" i="11"/>
  <c r="AB69" i="11"/>
  <c r="AA69" i="11"/>
  <c r="Y69" i="11"/>
  <c r="X69" i="11"/>
  <c r="V69" i="11"/>
  <c r="U69" i="11"/>
  <c r="S69" i="11"/>
  <c r="R69" i="11"/>
  <c r="P69" i="11"/>
  <c r="O69" i="11"/>
  <c r="M69" i="11"/>
  <c r="L69" i="11"/>
  <c r="J69" i="11"/>
  <c r="I69" i="11"/>
  <c r="G69" i="11"/>
  <c r="F69" i="11"/>
  <c r="D69" i="11"/>
  <c r="AM13" i="11"/>
  <c r="AM12" i="11"/>
  <c r="AM11" i="11"/>
  <c r="AJ13" i="11"/>
  <c r="AJ12" i="11"/>
  <c r="AJ11" i="11"/>
  <c r="AG13" i="11"/>
  <c r="AG12" i="11"/>
  <c r="AG11" i="11"/>
  <c r="AD13" i="11"/>
  <c r="AD12" i="11"/>
  <c r="AD11" i="11"/>
  <c r="AA13" i="11"/>
  <c r="AA12" i="11"/>
  <c r="AA11" i="11"/>
  <c r="X13" i="11"/>
  <c r="X12" i="11"/>
  <c r="X11" i="11"/>
  <c r="U13" i="11"/>
  <c r="U12" i="11"/>
  <c r="U11" i="11"/>
  <c r="R13" i="11"/>
  <c r="R12" i="11"/>
  <c r="R11" i="11"/>
  <c r="O13" i="11"/>
  <c r="O12" i="11"/>
  <c r="O11" i="11"/>
  <c r="L13" i="11"/>
  <c r="L12" i="11"/>
  <c r="L11" i="11"/>
  <c r="I13" i="11"/>
  <c r="I12" i="11"/>
  <c r="I11" i="11"/>
  <c r="I10" i="11"/>
  <c r="F13" i="11"/>
  <c r="AN13" i="11" s="1" a="1"/>
  <c r="AN13" i="11" s="1"/>
  <c r="AO13" i="11" s="1" a="1"/>
  <c r="AO13" i="11" s="1"/>
  <c r="F12" i="11"/>
  <c r="AN12" i="11" s="1" a="1"/>
  <c r="AN12" i="11" s="1"/>
  <c r="AO12" i="11" s="1" a="1"/>
  <c r="AO12" i="11" s="1"/>
  <c r="F11" i="11"/>
  <c r="AN11" i="11" s="1" a="1"/>
  <c r="AN11" i="11" s="1"/>
  <c r="AO11" i="11" s="1" a="1"/>
  <c r="AO11" i="11" s="1"/>
  <c r="D58" i="16"/>
  <c r="AL5" i="16"/>
  <c r="AI5" i="16"/>
  <c r="AF5" i="16"/>
  <c r="AC5" i="16"/>
  <c r="Z5" i="16"/>
  <c r="O11" i="16"/>
  <c r="AG4" i="16"/>
  <c r="AG5" i="16"/>
  <c r="AM4" i="16"/>
  <c r="AM5" i="16"/>
  <c r="AM12" i="16"/>
  <c r="AM10" i="16"/>
  <c r="AM9" i="16"/>
  <c r="AM8" i="16"/>
  <c r="AM7" i="16"/>
  <c r="AJ12" i="16"/>
  <c r="AJ10" i="16"/>
  <c r="AJ9" i="16"/>
  <c r="AJ8" i="16"/>
  <c r="AJ7" i="16"/>
  <c r="AJ5" i="16"/>
  <c r="AJ4" i="16"/>
  <c r="AG12" i="16"/>
  <c r="AG10" i="16"/>
  <c r="AG9" i="16"/>
  <c r="AG8" i="16"/>
  <c r="AG7" i="16"/>
  <c r="AD12" i="16"/>
  <c r="AD10" i="16"/>
  <c r="AD9" i="16"/>
  <c r="AD8" i="16"/>
  <c r="AD7" i="16"/>
  <c r="AD5" i="16"/>
  <c r="AD4" i="16"/>
  <c r="AA12" i="16"/>
  <c r="AA10" i="16"/>
  <c r="AA9" i="16"/>
  <c r="AA8" i="16"/>
  <c r="AA7" i="16"/>
  <c r="AA5" i="16"/>
  <c r="AA4" i="16"/>
  <c r="AM6" i="16"/>
  <c r="AJ6" i="16"/>
  <c r="AG6" i="16"/>
  <c r="AD6" i="16"/>
  <c r="X12" i="16"/>
  <c r="X10" i="16"/>
  <c r="X9" i="16"/>
  <c r="X8" i="16"/>
  <c r="X7" i="16"/>
  <c r="X6" i="16"/>
  <c r="X5" i="16"/>
  <c r="X4" i="16"/>
  <c r="U12" i="16"/>
  <c r="U10" i="16"/>
  <c r="U9" i="16"/>
  <c r="U8" i="16"/>
  <c r="U7" i="16"/>
  <c r="U6" i="16"/>
  <c r="U5" i="16"/>
  <c r="U4" i="16"/>
  <c r="R12" i="16"/>
  <c r="R10" i="16"/>
  <c r="R9" i="16"/>
  <c r="R8" i="16"/>
  <c r="R7" i="16"/>
  <c r="R6" i="16"/>
  <c r="R5" i="16"/>
  <c r="R4" i="16"/>
  <c r="O12" i="16"/>
  <c r="O10" i="16"/>
  <c r="O9" i="16"/>
  <c r="O8" i="16"/>
  <c r="O7" i="16"/>
  <c r="O6" i="16"/>
  <c r="O5" i="16"/>
  <c r="O4" i="16"/>
  <c r="L12" i="16"/>
  <c r="L10" i="16"/>
  <c r="L9" i="16"/>
  <c r="L8" i="16"/>
  <c r="L7" i="16"/>
  <c r="L6" i="16"/>
  <c r="L5" i="16"/>
  <c r="L4" i="16"/>
  <c r="I12" i="16"/>
  <c r="I10" i="16"/>
  <c r="I9" i="16"/>
  <c r="I8" i="16"/>
  <c r="I7" i="16"/>
  <c r="I6" i="16"/>
  <c r="I5" i="16"/>
  <c r="I4" i="16"/>
  <c r="F12" i="16"/>
  <c r="F10" i="16"/>
  <c r="F9" i="16"/>
  <c r="F8" i="16"/>
  <c r="F7" i="16"/>
  <c r="F6" i="16"/>
  <c r="F5" i="16"/>
  <c r="AA6" i="16"/>
  <c r="R28" i="16"/>
  <c r="AO28" i="16" a="1"/>
  <c r="AO28" i="16" s="1"/>
  <c r="AN28" i="16" a="1"/>
  <c r="AN28" i="16" s="1"/>
  <c r="AM27" i="16"/>
  <c r="Q113" i="16"/>
  <c r="F8" i="25"/>
  <c r="AK41" i="16"/>
  <c r="AH41" i="16"/>
  <c r="AB41" i="16"/>
  <c r="Y41" i="16"/>
  <c r="D13" i="25"/>
  <c r="D12" i="25"/>
  <c r="D11" i="25"/>
  <c r="D10" i="25"/>
  <c r="D9" i="25"/>
  <c r="D8" i="25"/>
  <c r="D7" i="25"/>
  <c r="D6" i="25"/>
  <c r="D5" i="25"/>
  <c r="D4" i="25"/>
  <c r="D3" i="25"/>
  <c r="D2" i="25"/>
  <c r="S41" i="16"/>
  <c r="C13" i="25"/>
  <c r="C12" i="25"/>
  <c r="C11" i="25"/>
  <c r="C10" i="25"/>
  <c r="C9" i="25"/>
  <c r="C8" i="25"/>
  <c r="C7" i="25"/>
  <c r="C6" i="25"/>
  <c r="C5" i="25"/>
  <c r="C4" i="25"/>
  <c r="C3" i="25"/>
  <c r="C2" i="25"/>
  <c r="F4" i="16"/>
  <c r="AO4" i="16" a="1"/>
  <c r="AO4" i="16" s="1"/>
  <c r="AN4" i="16" a="1"/>
  <c r="AN4" i="16" s="1"/>
  <c r="AO46" i="16" a="1"/>
  <c r="AO46" i="16" s="1"/>
  <c r="AO34" i="16" a="1"/>
  <c r="AO34" i="16" s="1"/>
  <c r="AO25" i="16" a="1"/>
  <c r="AO25" i="16" s="1"/>
  <c r="AM17" i="16"/>
  <c r="U17" i="16"/>
  <c r="AJ17" i="16"/>
  <c r="AG17" i="16"/>
  <c r="AD17" i="16"/>
  <c r="AA17" i="16"/>
  <c r="X17" i="16"/>
  <c r="AN17" i="16" s="1" a="1"/>
  <c r="AN17" i="16" s="1"/>
  <c r="AN34" i="16" a="1"/>
  <c r="AN34" i="16" s="1"/>
  <c r="AF73" i="16"/>
  <c r="AG73" i="16" s="1"/>
  <c r="AC73" i="16"/>
  <c r="AD73" i="16" s="1"/>
  <c r="Z73" i="16"/>
  <c r="AA73" i="16" s="1"/>
  <c r="W73" i="16"/>
  <c r="X73" i="16" s="1"/>
  <c r="T73" i="16"/>
  <c r="U73" i="16" s="1"/>
  <c r="AL54" i="16"/>
  <c r="AM54" i="16" s="1"/>
  <c r="AI54" i="16"/>
  <c r="AJ54" i="16" s="1"/>
  <c r="AF54" i="16"/>
  <c r="AG54" i="16" s="1"/>
  <c r="AC54" i="16"/>
  <c r="AD54" i="16" s="1"/>
  <c r="Z54" i="16"/>
  <c r="AA54" i="16" s="1"/>
  <c r="W54" i="16"/>
  <c r="X54" i="16" s="1"/>
  <c r="T54" i="16"/>
  <c r="U54" i="16" s="1"/>
  <c r="AN106" i="16" a="1"/>
  <c r="AN106" i="16"/>
  <c r="AN107" i="16" a="1"/>
  <c r="AN107" i="16"/>
  <c r="AL69" i="16"/>
  <c r="AM69" i="16" s="1"/>
  <c r="AI69" i="16"/>
  <c r="AJ69" i="16" s="1"/>
  <c r="AF69" i="16"/>
  <c r="AG69" i="16" s="1"/>
  <c r="AC69" i="16"/>
  <c r="AD69" i="16" s="1"/>
  <c r="Z69" i="16"/>
  <c r="AA69" i="16" s="1"/>
  <c r="W69" i="16"/>
  <c r="X69" i="16" s="1"/>
  <c r="T69" i="16"/>
  <c r="Q54" i="16"/>
  <c r="R54" i="16" s="1"/>
  <c r="N113" i="16"/>
  <c r="AK68" i="16"/>
  <c r="AM68" i="16"/>
  <c r="AH68" i="16"/>
  <c r="AJ68" i="16" s="1"/>
  <c r="AE68" i="16"/>
  <c r="AG68" i="16" s="1"/>
  <c r="AB68" i="16"/>
  <c r="AD68" i="16" s="1"/>
  <c r="Y68" i="16"/>
  <c r="AA68" i="16" s="1"/>
  <c r="X68" i="16"/>
  <c r="P68" i="16"/>
  <c r="R68" i="16" s="1"/>
  <c r="AM70" i="16"/>
  <c r="AJ70" i="16"/>
  <c r="AG70" i="16"/>
  <c r="AD70" i="16"/>
  <c r="AA70" i="16"/>
  <c r="X70" i="16"/>
  <c r="AI33" i="16"/>
  <c r="Q33" i="16"/>
  <c r="AL33" i="16"/>
  <c r="AM33" i="16"/>
  <c r="AJ33" i="16"/>
  <c r="AF33" i="16"/>
  <c r="AG33" i="16"/>
  <c r="AC33" i="16"/>
  <c r="AD33" i="16"/>
  <c r="Z33" i="16"/>
  <c r="AA33" i="16"/>
  <c r="W33" i="16"/>
  <c r="X33" i="16"/>
  <c r="T33" i="16"/>
  <c r="U33" i="16"/>
  <c r="Q14" i="16"/>
  <c r="S20" i="16"/>
  <c r="P20" i="16"/>
  <c r="D14" i="18"/>
  <c r="C14" i="18"/>
  <c r="B14" i="18"/>
  <c r="AF22" i="16"/>
  <c r="C6" i="18"/>
  <c r="D6" i="18"/>
  <c r="K113" i="16"/>
  <c r="D92" i="16"/>
  <c r="G92" i="16"/>
  <c r="J92" i="16"/>
  <c r="M92" i="16"/>
  <c r="P92" i="16"/>
  <c r="S92" i="16"/>
  <c r="V92" i="16"/>
  <c r="Y92" i="16"/>
  <c r="AB92" i="16"/>
  <c r="AE92" i="16"/>
  <c r="AH92" i="16"/>
  <c r="AK92" i="16"/>
  <c r="AO91" i="16" a="1"/>
  <c r="AO91" i="16" s="1"/>
  <c r="AN91" i="16" a="1"/>
  <c r="AN91" i="16" s="1"/>
  <c r="AO73" i="16" a="1"/>
  <c r="AO73" i="16" s="1"/>
  <c r="AN73" i="16" a="1"/>
  <c r="AN73" i="16" s="1"/>
  <c r="AO106" i="16" a="1"/>
  <c r="AO106" i="16" s="1"/>
  <c r="AO107" i="16" a="1"/>
  <c r="AO107" i="16" s="1"/>
  <c r="AO108" i="16" a="1"/>
  <c r="AO108" i="16" s="1"/>
  <c r="AO109" i="16" a="1"/>
  <c r="AO109" i="16" s="1"/>
  <c r="AO110" i="16" a="1"/>
  <c r="AO110" i="16" s="1"/>
  <c r="AO111" i="16" a="1"/>
  <c r="AO111" i="16" s="1"/>
  <c r="D74" i="16"/>
  <c r="G74" i="16"/>
  <c r="J74" i="16"/>
  <c r="M74" i="16"/>
  <c r="P74" i="16"/>
  <c r="S74" i="16"/>
  <c r="V74" i="16"/>
  <c r="Y74" i="16"/>
  <c r="AB74" i="16"/>
  <c r="AE74" i="16"/>
  <c r="AH74" i="16"/>
  <c r="AK74" i="16"/>
  <c r="O113" i="16"/>
  <c r="R113" i="16"/>
  <c r="U113" i="16"/>
  <c r="X113" i="16"/>
  <c r="AA113" i="16"/>
  <c r="AD113" i="16"/>
  <c r="AG113" i="16"/>
  <c r="AJ113" i="16"/>
  <c r="AM113" i="16"/>
  <c r="L113" i="16"/>
  <c r="H113" i="16"/>
  <c r="E113" i="16"/>
  <c r="T49" i="16"/>
  <c r="R49" i="16"/>
  <c r="U50" i="16"/>
  <c r="R50" i="16"/>
  <c r="O50" i="16"/>
  <c r="AO50" i="16" s="1" a="1"/>
  <c r="AO50" i="16" s="1"/>
  <c r="AN50" i="16" a="1"/>
  <c r="AN50" i="16"/>
  <c r="L125" i="16"/>
  <c r="O125" i="16"/>
  <c r="R125" i="16"/>
  <c r="U125" i="16"/>
  <c r="X125" i="16"/>
  <c r="AA125" i="16"/>
  <c r="AD125" i="16"/>
  <c r="AG125" i="16"/>
  <c r="AJ125" i="16"/>
  <c r="AM125" i="16"/>
  <c r="AO123" i="16" a="1"/>
  <c r="AO123" i="16" s="1"/>
  <c r="AO121" i="16" a="1"/>
  <c r="AO121" i="16" s="1"/>
  <c r="AO120" i="16" a="1"/>
  <c r="AO120" i="16" s="1"/>
  <c r="AO119" i="16" a="1"/>
  <c r="AO119" i="16" s="1"/>
  <c r="AO116" i="16" a="1"/>
  <c r="AO116" i="16" s="1"/>
  <c r="AO115" i="16" a="1"/>
  <c r="AO115" i="16" s="1"/>
  <c r="X116" i="11"/>
  <c r="AM47" i="16"/>
  <c r="AJ47" i="16"/>
  <c r="AG47" i="16"/>
  <c r="AD47" i="16"/>
  <c r="AA47" i="16"/>
  <c r="X47" i="16"/>
  <c r="U47" i="16"/>
  <c r="R47" i="16"/>
  <c r="O47" i="16"/>
  <c r="AO47" i="16" s="1" a="1"/>
  <c r="AO47" i="16" s="1"/>
  <c r="AN47" i="16" a="1"/>
  <c r="AN47" i="16" s="1"/>
  <c r="AN46" i="16" a="1"/>
  <c r="AN46" i="16" s="1"/>
  <c r="J24" i="16"/>
  <c r="E23" i="11"/>
  <c r="F23" i="11" s="1"/>
  <c r="H23" i="11"/>
  <c r="K23" i="11"/>
  <c r="I23" i="11"/>
  <c r="L23" i="11"/>
  <c r="O23" i="11"/>
  <c r="R23" i="11"/>
  <c r="U23" i="11"/>
  <c r="X23" i="11"/>
  <c r="AA23" i="11"/>
  <c r="AD23" i="11"/>
  <c r="AG23" i="11"/>
  <c r="AJ23" i="11"/>
  <c r="AM23" i="11"/>
  <c r="F122" i="16"/>
  <c r="AO122" i="16" s="1" a="1"/>
  <c r="AO122" i="16" s="1"/>
  <c r="AL53" i="16"/>
  <c r="AI53" i="16"/>
  <c r="AF53" i="16"/>
  <c r="AC53" i="16"/>
  <c r="Z53" i="16"/>
  <c r="W53" i="16"/>
  <c r="T53" i="16"/>
  <c r="Q53" i="16"/>
  <c r="N53" i="16"/>
  <c r="B27" i="18"/>
  <c r="D19" i="18"/>
  <c r="C19" i="18"/>
  <c r="D30" i="18"/>
  <c r="D23" i="18"/>
  <c r="C30" i="18"/>
  <c r="C23" i="18"/>
  <c r="D30" i="23"/>
  <c r="C30" i="23"/>
  <c r="B30" i="23"/>
  <c r="D23" i="23"/>
  <c r="C23" i="23"/>
  <c r="B23" i="23"/>
  <c r="D19" i="23"/>
  <c r="C19" i="23"/>
  <c r="D6" i="23"/>
  <c r="C6" i="23"/>
  <c r="B6" i="23"/>
  <c r="I118" i="16"/>
  <c r="F118" i="16"/>
  <c r="AO118" i="16" s="1" a="1"/>
  <c r="AO118" i="16" s="1"/>
  <c r="R115" i="11"/>
  <c r="O115" i="11"/>
  <c r="L115" i="11"/>
  <c r="I115" i="11"/>
  <c r="F115" i="11"/>
  <c r="F123" i="11" s="1"/>
  <c r="U119" i="11"/>
  <c r="X119" i="11"/>
  <c r="X123" i="11" s="1"/>
  <c r="AA119" i="11"/>
  <c r="AD119" i="11"/>
  <c r="AM119" i="11"/>
  <c r="AM116" i="11"/>
  <c r="AM123" i="11" s="1"/>
  <c r="AD116" i="11"/>
  <c r="AD123" i="11" s="1"/>
  <c r="AA116" i="11"/>
  <c r="AA123" i="11" s="1"/>
  <c r="U116" i="11"/>
  <c r="U123" i="11" s="1"/>
  <c r="R116" i="11"/>
  <c r="O116" i="11"/>
  <c r="L116" i="11"/>
  <c r="I116" i="11"/>
  <c r="M38" i="16"/>
  <c r="V38" i="16"/>
  <c r="AH38" i="16"/>
  <c r="G113" i="16"/>
  <c r="I113" i="16" s="1"/>
  <c r="I125" i="16" s="1"/>
  <c r="D113" i="16"/>
  <c r="AK43" i="16"/>
  <c r="AH43" i="16"/>
  <c r="AE43" i="16"/>
  <c r="AB43" i="16"/>
  <c r="Y43" i="16"/>
  <c r="M43" i="16"/>
  <c r="AK40" i="16"/>
  <c r="AH40" i="16"/>
  <c r="AE40" i="16"/>
  <c r="AB40" i="16"/>
  <c r="Y40" i="16"/>
  <c r="V40" i="16"/>
  <c r="S40" i="16"/>
  <c r="N39" i="16"/>
  <c r="L35" i="16"/>
  <c r="AO35" i="16" s="1" a="1"/>
  <c r="AO35" i="16" s="1"/>
  <c r="K32" i="16"/>
  <c r="L32" i="16"/>
  <c r="AN32" i="16" a="1"/>
  <c r="AN32" i="16" s="1"/>
  <c r="B30" i="18"/>
  <c r="P29" i="22"/>
  <c r="O29" i="22"/>
  <c r="N29" i="22"/>
  <c r="M29" i="22"/>
  <c r="L29" i="22"/>
  <c r="K29" i="22"/>
  <c r="J29" i="22"/>
  <c r="I29" i="22"/>
  <c r="H29" i="22"/>
  <c r="G29" i="22"/>
  <c r="F29" i="22"/>
  <c r="E29" i="22"/>
  <c r="D29" i="22"/>
  <c r="P13" i="22"/>
  <c r="O13" i="22"/>
  <c r="N13" i="22"/>
  <c r="M13" i="22"/>
  <c r="L13" i="22"/>
  <c r="K13" i="22"/>
  <c r="J13" i="22"/>
  <c r="I13" i="22"/>
  <c r="H13" i="22"/>
  <c r="G13" i="22"/>
  <c r="F13" i="22"/>
  <c r="E13" i="22"/>
  <c r="D13" i="22"/>
  <c r="P27" i="22"/>
  <c r="O27" i="22"/>
  <c r="N27" i="22"/>
  <c r="M27" i="22"/>
  <c r="L27" i="22"/>
  <c r="K27" i="22"/>
  <c r="J27" i="22"/>
  <c r="I27" i="22"/>
  <c r="H27" i="22"/>
  <c r="G27" i="22"/>
  <c r="F27" i="22"/>
  <c r="E27" i="22"/>
  <c r="D27" i="22"/>
  <c r="O32" i="21"/>
  <c r="N32" i="21"/>
  <c r="M32" i="21"/>
  <c r="L32" i="21"/>
  <c r="K32" i="21"/>
  <c r="J32" i="21"/>
  <c r="I32" i="21"/>
  <c r="H32" i="21"/>
  <c r="G32" i="21"/>
  <c r="F32" i="21"/>
  <c r="E32" i="21"/>
  <c r="D32" i="21"/>
  <c r="P31" i="21" a="1"/>
  <c r="P31" i="21" s="1"/>
  <c r="P30" i="21" a="1"/>
  <c r="P30" i="21" s="1"/>
  <c r="P29" i="21" a="1"/>
  <c r="P29" i="21" s="1"/>
  <c r="P28" i="21" a="1"/>
  <c r="P28" i="21" s="1"/>
  <c r="P27" i="21" a="1"/>
  <c r="P27" i="21" s="1"/>
  <c r="P26" i="21" a="1"/>
  <c r="P26" i="21" s="1"/>
  <c r="P25" i="21" a="1"/>
  <c r="P25" i="21" s="1"/>
  <c r="P24" i="21" a="1"/>
  <c r="P24" i="21" s="1"/>
  <c r="P23" i="21" a="1"/>
  <c r="P23" i="21" s="1"/>
  <c r="P22" i="21" a="1"/>
  <c r="P22" i="21" s="1"/>
  <c r="P21" i="21" a="1"/>
  <c r="P21" i="21" s="1"/>
  <c r="P20" i="21" a="1"/>
  <c r="P20" i="21" s="1"/>
  <c r="P32" i="21" s="1"/>
  <c r="O19" i="21"/>
  <c r="O33" i="21" s="1"/>
  <c r="N19" i="21"/>
  <c r="N33" i="21" s="1"/>
  <c r="M19" i="21"/>
  <c r="M33" i="21" s="1"/>
  <c r="L19" i="21"/>
  <c r="L33" i="21" s="1"/>
  <c r="K19" i="21"/>
  <c r="K33" i="21" s="1"/>
  <c r="J19" i="21"/>
  <c r="J33" i="21" s="1"/>
  <c r="I19" i="21"/>
  <c r="I33" i="21" s="1"/>
  <c r="H19" i="21"/>
  <c r="H33" i="21" s="1"/>
  <c r="G19" i="21"/>
  <c r="G33" i="21" s="1"/>
  <c r="F19" i="21"/>
  <c r="F33" i="21" s="1"/>
  <c r="E19" i="21"/>
  <c r="E33" i="21" s="1"/>
  <c r="D19" i="21"/>
  <c r="D33" i="21" s="1"/>
  <c r="P18" i="21" a="1"/>
  <c r="P18" i="21" s="1"/>
  <c r="P17" i="21" a="1"/>
  <c r="P17" i="21" s="1"/>
  <c r="P16" i="21" a="1"/>
  <c r="P16" i="21" s="1"/>
  <c r="P15" i="21" a="1"/>
  <c r="P15" i="21" s="1"/>
  <c r="P14" i="21" a="1"/>
  <c r="P14" i="21" s="1"/>
  <c r="P13" i="21" a="1"/>
  <c r="P13" i="21" s="1"/>
  <c r="P12" i="21" a="1"/>
  <c r="P12" i="21" s="1"/>
  <c r="P11" i="21" a="1"/>
  <c r="P11" i="21" s="1"/>
  <c r="P10" i="21" a="1"/>
  <c r="P10" i="21" s="1"/>
  <c r="P9" i="21" a="1"/>
  <c r="P9" i="21" s="1"/>
  <c r="P8" i="21" a="1"/>
  <c r="P8" i="21" s="1"/>
  <c r="P7" i="21" a="1"/>
  <c r="P7" i="21" s="1"/>
  <c r="P6" i="21" a="1"/>
  <c r="P6" i="21" s="1"/>
  <c r="P5" i="21" a="1"/>
  <c r="P5" i="21" s="1"/>
  <c r="P4" i="21" a="1"/>
  <c r="P4" i="21" s="1"/>
  <c r="P19" i="21" s="1"/>
  <c r="P33" i="21" s="1"/>
  <c r="AK53" i="16"/>
  <c r="AH53" i="16"/>
  <c r="AE53" i="16"/>
  <c r="AB53" i="16"/>
  <c r="Y53" i="16"/>
  <c r="V53" i="16"/>
  <c r="S53" i="16"/>
  <c r="P53" i="16"/>
  <c r="M53" i="16"/>
  <c r="J53" i="16"/>
  <c r="R14" i="16"/>
  <c r="O14" i="16"/>
  <c r="L14" i="16"/>
  <c r="I14" i="16"/>
  <c r="AO14" i="16" s="1" a="1"/>
  <c r="AO14" i="16" s="1"/>
  <c r="AM16" i="16"/>
  <c r="AJ16" i="16"/>
  <c r="AG16" i="16"/>
  <c r="AD16" i="16"/>
  <c r="AA16" i="16"/>
  <c r="X16" i="16"/>
  <c r="U16" i="16"/>
  <c r="R16" i="16"/>
  <c r="O16" i="16"/>
  <c r="L16" i="16"/>
  <c r="I16" i="16"/>
  <c r="AO16" i="16" s="1" a="1"/>
  <c r="AO16" i="16" s="1"/>
  <c r="F15" i="16"/>
  <c r="AO15" i="16" s="1" a="1"/>
  <c r="AO15" i="16" s="1"/>
  <c r="P24" i="16"/>
  <c r="AN16" i="16" a="1"/>
  <c r="AN16" i="16" s="1"/>
  <c r="AN15" i="16" a="1"/>
  <c r="AN15" i="16" s="1"/>
  <c r="AN121" i="16" a="1"/>
  <c r="AN121" i="16"/>
  <c r="K13" i="16"/>
  <c r="H13" i="16"/>
  <c r="N13" i="16"/>
  <c r="AN115" i="11" a="1"/>
  <c r="AN115" i="11"/>
  <c r="AO115" i="11" s="1" a="1"/>
  <c r="AO115" i="11" s="1"/>
  <c r="AH41" i="11"/>
  <c r="I13" i="16"/>
  <c r="AJ109" i="11"/>
  <c r="AG109" i="11"/>
  <c r="AK20" i="16"/>
  <c r="AH20" i="16"/>
  <c r="AE20" i="16"/>
  <c r="AB20" i="16"/>
  <c r="Y20" i="16"/>
  <c r="V20" i="16"/>
  <c r="J20" i="16"/>
  <c r="J58" i="16" s="1"/>
  <c r="G20" i="16"/>
  <c r="G58" i="16" s="1"/>
  <c r="B6" i="18"/>
  <c r="AM53" i="16"/>
  <c r="AJ53" i="16"/>
  <c r="AG53" i="16"/>
  <c r="AD53" i="16"/>
  <c r="AA53" i="16"/>
  <c r="X53" i="16"/>
  <c r="U53" i="16"/>
  <c r="R53" i="16"/>
  <c r="O53" i="16"/>
  <c r="AH50" i="11"/>
  <c r="AH49" i="11"/>
  <c r="AK44" i="16"/>
  <c r="AH44" i="16"/>
  <c r="AE44" i="16"/>
  <c r="AB44" i="16"/>
  <c r="Y44" i="16"/>
  <c r="V44" i="16"/>
  <c r="S44" i="16"/>
  <c r="AL50" i="11"/>
  <c r="AM50" i="11" s="1"/>
  <c r="AI50" i="11"/>
  <c r="AJ50" i="11" s="1"/>
  <c r="AN50" i="11" s="1" a="1"/>
  <c r="AN50" i="11" s="1"/>
  <c r="AL49" i="11"/>
  <c r="AI49" i="11"/>
  <c r="AM90" i="16"/>
  <c r="AM89" i="16"/>
  <c r="AM88" i="16"/>
  <c r="AM87" i="16"/>
  <c r="AM86" i="16"/>
  <c r="AM85" i="16"/>
  <c r="AM84" i="16"/>
  <c r="AM83" i="16"/>
  <c r="AM82" i="16"/>
  <c r="AM81" i="16"/>
  <c r="AM80" i="16"/>
  <c r="AM79" i="16"/>
  <c r="AM78" i="16"/>
  <c r="AM77" i="16"/>
  <c r="AM76" i="16"/>
  <c r="AM72" i="16"/>
  <c r="AM71" i="16"/>
  <c r="AJ90" i="16"/>
  <c r="AJ89" i="16"/>
  <c r="AJ88" i="16"/>
  <c r="AJ87" i="16"/>
  <c r="AJ86" i="16"/>
  <c r="AJ85" i="16"/>
  <c r="AJ84" i="16"/>
  <c r="AJ83" i="16"/>
  <c r="AJ82" i="16"/>
  <c r="AJ81" i="16"/>
  <c r="AJ80" i="16"/>
  <c r="AJ79" i="16"/>
  <c r="AJ78" i="16"/>
  <c r="AJ77" i="16"/>
  <c r="AJ76" i="16"/>
  <c r="AJ72" i="16"/>
  <c r="AJ71" i="16"/>
  <c r="AG90" i="16"/>
  <c r="AG89" i="16"/>
  <c r="AG88" i="16"/>
  <c r="AG87" i="16"/>
  <c r="AG86" i="16"/>
  <c r="AG85" i="16"/>
  <c r="AG84" i="16"/>
  <c r="AG83" i="16"/>
  <c r="AG82" i="16"/>
  <c r="AG81" i="16"/>
  <c r="AG80" i="16"/>
  <c r="AG79" i="16"/>
  <c r="AG78" i="16"/>
  <c r="AG77" i="16"/>
  <c r="AG76" i="16"/>
  <c r="AG72" i="16"/>
  <c r="AG71" i="16"/>
  <c r="AD90" i="16"/>
  <c r="AD89" i="16"/>
  <c r="AD88" i="16"/>
  <c r="AD87" i="16"/>
  <c r="AD86" i="16"/>
  <c r="AD85" i="16"/>
  <c r="AD84" i="16"/>
  <c r="AD83" i="16"/>
  <c r="AD82" i="16"/>
  <c r="AD81" i="16"/>
  <c r="AD80" i="16"/>
  <c r="AD79" i="16"/>
  <c r="AD78" i="16"/>
  <c r="AD77" i="16"/>
  <c r="AD76" i="16"/>
  <c r="AD72" i="16"/>
  <c r="AD71" i="16"/>
  <c r="AA90" i="16"/>
  <c r="AA89" i="16"/>
  <c r="AA88" i="16"/>
  <c r="AA87" i="16"/>
  <c r="AA86" i="16"/>
  <c r="AA85" i="16"/>
  <c r="AA84" i="16"/>
  <c r="AA83" i="16"/>
  <c r="AA82" i="16"/>
  <c r="AA81" i="16"/>
  <c r="AA80" i="16"/>
  <c r="AA79" i="16"/>
  <c r="AA78" i="16"/>
  <c r="AA77" i="16"/>
  <c r="AA76" i="16"/>
  <c r="AA92" i="16" s="1"/>
  <c r="AA72" i="16"/>
  <c r="AA71" i="16"/>
  <c r="X90" i="16"/>
  <c r="X89" i="16"/>
  <c r="X88" i="16"/>
  <c r="X87" i="16"/>
  <c r="X86" i="16"/>
  <c r="X85" i="16"/>
  <c r="X84" i="16"/>
  <c r="X83" i="16"/>
  <c r="X82" i="16"/>
  <c r="X81" i="16"/>
  <c r="X80" i="16"/>
  <c r="X79" i="16"/>
  <c r="X78" i="16"/>
  <c r="X77" i="16"/>
  <c r="X76" i="16"/>
  <c r="X92" i="16" s="1"/>
  <c r="X72" i="16"/>
  <c r="X71" i="16"/>
  <c r="U90" i="16"/>
  <c r="U89" i="16"/>
  <c r="U88" i="16"/>
  <c r="U87" i="16"/>
  <c r="U86" i="16"/>
  <c r="U85" i="16"/>
  <c r="U84" i="16"/>
  <c r="U83" i="16"/>
  <c r="U82" i="16"/>
  <c r="U81" i="16"/>
  <c r="U80" i="16"/>
  <c r="U79" i="16"/>
  <c r="U78" i="16"/>
  <c r="U77" i="16"/>
  <c r="U76" i="16"/>
  <c r="U92" i="16" s="1"/>
  <c r="U71" i="16"/>
  <c r="R90" i="16"/>
  <c r="R89" i="16"/>
  <c r="R88" i="16"/>
  <c r="R87" i="16"/>
  <c r="R86" i="16"/>
  <c r="R85" i="16"/>
  <c r="R84" i="16"/>
  <c r="R83" i="16"/>
  <c r="R82" i="16"/>
  <c r="R81" i="16"/>
  <c r="R80" i="16"/>
  <c r="R79" i="16"/>
  <c r="R78" i="16"/>
  <c r="R77" i="16"/>
  <c r="R76" i="16"/>
  <c r="R72" i="16"/>
  <c r="R71" i="16"/>
  <c r="O90" i="16"/>
  <c r="O89" i="16"/>
  <c r="O88" i="16"/>
  <c r="O87" i="16"/>
  <c r="O86" i="16"/>
  <c r="O85" i="16"/>
  <c r="O84" i="16"/>
  <c r="O83" i="16"/>
  <c r="O82" i="16"/>
  <c r="O81" i="16"/>
  <c r="O80" i="16"/>
  <c r="O79" i="16"/>
  <c r="O78" i="16"/>
  <c r="O77" i="16"/>
  <c r="O76" i="16"/>
  <c r="O92" i="16" s="1"/>
  <c r="O72" i="16"/>
  <c r="O71" i="16"/>
  <c r="L90" i="16"/>
  <c r="L89" i="16"/>
  <c r="L88" i="16"/>
  <c r="L87" i="16"/>
  <c r="L86" i="16"/>
  <c r="L85" i="16"/>
  <c r="L84" i="16"/>
  <c r="L83" i="16"/>
  <c r="L82" i="16"/>
  <c r="L81" i="16"/>
  <c r="L80" i="16"/>
  <c r="L79" i="16"/>
  <c r="L78" i="16"/>
  <c r="L77" i="16"/>
  <c r="L76" i="16"/>
  <c r="L92" i="16" s="1"/>
  <c r="L72" i="16"/>
  <c r="L71" i="16"/>
  <c r="I90" i="16"/>
  <c r="I89" i="16"/>
  <c r="I88" i="16"/>
  <c r="I87" i="16"/>
  <c r="I86" i="16"/>
  <c r="I85" i="16"/>
  <c r="I84" i="16"/>
  <c r="I83" i="16"/>
  <c r="I82" i="16"/>
  <c r="I81" i="16"/>
  <c r="I80" i="16"/>
  <c r="I79" i="16"/>
  <c r="I78" i="16"/>
  <c r="I77" i="16"/>
  <c r="I76" i="16"/>
  <c r="I92" i="16" s="1"/>
  <c r="I72" i="16"/>
  <c r="I71" i="16"/>
  <c r="F90" i="16"/>
  <c r="F89" i="16"/>
  <c r="F88" i="16"/>
  <c r="F87" i="16"/>
  <c r="F86" i="16"/>
  <c r="F85" i="16"/>
  <c r="F84" i="16"/>
  <c r="F83" i="16"/>
  <c r="F82" i="16"/>
  <c r="F81" i="16"/>
  <c r="F80" i="16"/>
  <c r="F79" i="16"/>
  <c r="F78" i="16"/>
  <c r="F77" i="16"/>
  <c r="F76" i="16"/>
  <c r="F92" i="16" s="1"/>
  <c r="F72" i="16"/>
  <c r="F71" i="16"/>
  <c r="AO68" i="16" a="1"/>
  <c r="AO68" i="16" s="1"/>
  <c r="AL56" i="16"/>
  <c r="AM56" i="16" s="1"/>
  <c r="AL55" i="16"/>
  <c r="AL52" i="16"/>
  <c r="AM52" i="16" s="1"/>
  <c r="AL51" i="16"/>
  <c r="AM51" i="16" s="1"/>
  <c r="AL48" i="16"/>
  <c r="AM48" i="16" s="1"/>
  <c r="AL43" i="16"/>
  <c r="AL41" i="16"/>
  <c r="AL40" i="16"/>
  <c r="AL39" i="16"/>
  <c r="AL38" i="16"/>
  <c r="AL37" i="16"/>
  <c r="AM37" i="16" s="1"/>
  <c r="AL36" i="16"/>
  <c r="AM36" i="16" s="1"/>
  <c r="AL30" i="16"/>
  <c r="AM30" i="16" s="1"/>
  <c r="AL26" i="16"/>
  <c r="AM26" i="16" s="1"/>
  <c r="AL24" i="16"/>
  <c r="AL23" i="16"/>
  <c r="AM23" i="16" s="1"/>
  <c r="AL22" i="16"/>
  <c r="AM22" i="16" s="1"/>
  <c r="AL21" i="16"/>
  <c r="AL20" i="16"/>
  <c r="AM20" i="16" s="1"/>
  <c r="AL19" i="16"/>
  <c r="AM19" i="16" s="1"/>
  <c r="AL13" i="16"/>
  <c r="AM13" i="16" s="1"/>
  <c r="AI56" i="16"/>
  <c r="AJ56" i="16" s="1"/>
  <c r="AI55" i="16"/>
  <c r="AI52" i="16"/>
  <c r="AJ52" i="16" s="1"/>
  <c r="AI51" i="16"/>
  <c r="AJ51" i="16" s="1"/>
  <c r="AI48" i="16"/>
  <c r="AJ48" i="16" s="1"/>
  <c r="AI43" i="16"/>
  <c r="AI41" i="16"/>
  <c r="AI40" i="16"/>
  <c r="AI39" i="16"/>
  <c r="AI38" i="16"/>
  <c r="AI37" i="16"/>
  <c r="AJ37" i="16" s="1"/>
  <c r="AI36" i="16"/>
  <c r="AJ36" i="16" s="1"/>
  <c r="AI30" i="16"/>
  <c r="AJ30" i="16" s="1"/>
  <c r="AJ27" i="16"/>
  <c r="AI26" i="16"/>
  <c r="AJ26" i="16" s="1"/>
  <c r="AI24" i="16"/>
  <c r="AI23" i="16"/>
  <c r="AJ23" i="16" s="1"/>
  <c r="AI22" i="16"/>
  <c r="AJ22" i="16" s="1"/>
  <c r="AI21" i="16"/>
  <c r="AI20" i="16"/>
  <c r="AJ20" i="16" s="1"/>
  <c r="AI19" i="16"/>
  <c r="AJ19" i="16" s="1"/>
  <c r="AI13" i="16"/>
  <c r="AJ13" i="16" s="1"/>
  <c r="AF56" i="16"/>
  <c r="AF55" i="16"/>
  <c r="AF52" i="16"/>
  <c r="AF51" i="16"/>
  <c r="AF48" i="16"/>
  <c r="AG48" i="16" s="1"/>
  <c r="AF43" i="16"/>
  <c r="AF41" i="16"/>
  <c r="AF40" i="16"/>
  <c r="AF39" i="16"/>
  <c r="AF38" i="16"/>
  <c r="AF37" i="16"/>
  <c r="AF36" i="16"/>
  <c r="AF30" i="16"/>
  <c r="AG27" i="16"/>
  <c r="AF26" i="16"/>
  <c r="AG26" i="16" s="1"/>
  <c r="AF24" i="16"/>
  <c r="AF23" i="16"/>
  <c r="AG23" i="16" s="1"/>
  <c r="AF21" i="16"/>
  <c r="AF20" i="16"/>
  <c r="AG20" i="16" s="1"/>
  <c r="AF19" i="16"/>
  <c r="AF13" i="16"/>
  <c r="AG56" i="16"/>
  <c r="AG52" i="16"/>
  <c r="AG51" i="16"/>
  <c r="AG36" i="16"/>
  <c r="AG30" i="16"/>
  <c r="AG22" i="16"/>
  <c r="AG19" i="16"/>
  <c r="AG13" i="16"/>
  <c r="AC56" i="16"/>
  <c r="AD56" i="16" s="1"/>
  <c r="AC55" i="16"/>
  <c r="AC52" i="16"/>
  <c r="AD52" i="16" s="1"/>
  <c r="AC51" i="16"/>
  <c r="AD51" i="16" s="1"/>
  <c r="AC48" i="16"/>
  <c r="AD48" i="16" s="1"/>
  <c r="AC43" i="16"/>
  <c r="AC41" i="16"/>
  <c r="AC40" i="16"/>
  <c r="AC39" i="16"/>
  <c r="AC38" i="16"/>
  <c r="AC37" i="16"/>
  <c r="AD37" i="16" s="1"/>
  <c r="AC36" i="16"/>
  <c r="AD36" i="16" s="1"/>
  <c r="AC30" i="16"/>
  <c r="AD30" i="16" s="1"/>
  <c r="AD27" i="16"/>
  <c r="AC26" i="16"/>
  <c r="AD26" i="16" s="1"/>
  <c r="AC24" i="16"/>
  <c r="AC23" i="16"/>
  <c r="AD23" i="16" s="1"/>
  <c r="AC22" i="16"/>
  <c r="AD22" i="16" s="1"/>
  <c r="AC21" i="16"/>
  <c r="AC20" i="16"/>
  <c r="AD20" i="16" s="1"/>
  <c r="AC19" i="16"/>
  <c r="AD19" i="16" s="1"/>
  <c r="AC13" i="16"/>
  <c r="AD13" i="16" s="1"/>
  <c r="Z56" i="16"/>
  <c r="AA56" i="16" s="1"/>
  <c r="Z55" i="16"/>
  <c r="Z52" i="16"/>
  <c r="AA52" i="16" s="1"/>
  <c r="Z51" i="16"/>
  <c r="AA51" i="16" s="1"/>
  <c r="Z48" i="16"/>
  <c r="AA48" i="16" s="1"/>
  <c r="Z43" i="16"/>
  <c r="Z41" i="16"/>
  <c r="Z40" i="16"/>
  <c r="Z39" i="16"/>
  <c r="Z38" i="16"/>
  <c r="Z37" i="16"/>
  <c r="AA37" i="16" s="1"/>
  <c r="Z36" i="16"/>
  <c r="AA36" i="16" s="1"/>
  <c r="Z30" i="16"/>
  <c r="AA30" i="16" s="1"/>
  <c r="AA27" i="16"/>
  <c r="Z26" i="16"/>
  <c r="AA26" i="16" s="1"/>
  <c r="Z24" i="16"/>
  <c r="Z23" i="16"/>
  <c r="AA23" i="16" s="1"/>
  <c r="Z22" i="16"/>
  <c r="AA22" i="16" s="1"/>
  <c r="Z21" i="16"/>
  <c r="Z20" i="16"/>
  <c r="AA20" i="16" s="1"/>
  <c r="Z19" i="16"/>
  <c r="AA19" i="16" s="1"/>
  <c r="Z13" i="16"/>
  <c r="AA13" i="16" s="1"/>
  <c r="W56" i="16"/>
  <c r="X56" i="16" s="1"/>
  <c r="W55" i="16"/>
  <c r="W52" i="16"/>
  <c r="X52" i="16" s="1"/>
  <c r="W51" i="16"/>
  <c r="X51" i="16" s="1"/>
  <c r="W48" i="16"/>
  <c r="X48" i="16" s="1"/>
  <c r="W41" i="16"/>
  <c r="W40" i="16"/>
  <c r="W39" i="16"/>
  <c r="W38" i="16"/>
  <c r="X38" i="16" s="1"/>
  <c r="W37" i="16"/>
  <c r="W36" i="16"/>
  <c r="X36" i="16" s="1"/>
  <c r="W30" i="16"/>
  <c r="X30" i="16" s="1"/>
  <c r="X27" i="16"/>
  <c r="W26" i="16"/>
  <c r="X26" i="16" s="1"/>
  <c r="W24" i="16"/>
  <c r="W22" i="16"/>
  <c r="X22" i="16" s="1"/>
  <c r="W21" i="16"/>
  <c r="W20" i="16"/>
  <c r="X20" i="16" s="1"/>
  <c r="W19" i="16"/>
  <c r="X19" i="16" s="1"/>
  <c r="W13" i="16"/>
  <c r="X13" i="16" s="1"/>
  <c r="T56" i="16"/>
  <c r="U56" i="16" s="1"/>
  <c r="T55" i="16"/>
  <c r="T52" i="16"/>
  <c r="U52" i="16" s="1"/>
  <c r="T51" i="16"/>
  <c r="U51" i="16" s="1"/>
  <c r="T48" i="16"/>
  <c r="U48" i="16" s="1"/>
  <c r="T41" i="16"/>
  <c r="T40" i="16"/>
  <c r="T39" i="16"/>
  <c r="T38" i="16"/>
  <c r="T37" i="16"/>
  <c r="U37" i="16" s="1"/>
  <c r="T36" i="16"/>
  <c r="U36" i="16" s="1"/>
  <c r="T30" i="16"/>
  <c r="U30" i="16" s="1"/>
  <c r="U27" i="16"/>
  <c r="T26" i="16"/>
  <c r="U26" i="16" s="1"/>
  <c r="T24" i="16"/>
  <c r="U22" i="16"/>
  <c r="T21" i="16"/>
  <c r="T19" i="16"/>
  <c r="U19" i="16" s="1"/>
  <c r="T13" i="16"/>
  <c r="U13" i="16" s="1"/>
  <c r="Q56" i="16"/>
  <c r="R56" i="16" s="1"/>
  <c r="Q55" i="16"/>
  <c r="Q52" i="16"/>
  <c r="R52" i="16" s="1"/>
  <c r="Q51" i="16"/>
  <c r="R51" i="16" s="1"/>
  <c r="Q48" i="16"/>
  <c r="R48" i="16" s="1"/>
  <c r="Q41" i="16"/>
  <c r="Q40" i="16"/>
  <c r="Q39" i="16"/>
  <c r="Q38" i="16"/>
  <c r="R38" i="16" s="1"/>
  <c r="Q37" i="16"/>
  <c r="R37" i="16" s="1"/>
  <c r="Q36" i="16"/>
  <c r="R36" i="16" s="1"/>
  <c r="Q30" i="16"/>
  <c r="R30" i="16" s="1"/>
  <c r="R27" i="16"/>
  <c r="Q26" i="16"/>
  <c r="R26" i="16" s="1"/>
  <c r="Q24" i="16"/>
  <c r="Q23" i="16"/>
  <c r="R23" i="16" s="1"/>
  <c r="R22" i="16"/>
  <c r="Q21" i="16"/>
  <c r="Q19" i="16"/>
  <c r="R19" i="16" s="1"/>
  <c r="Q13" i="16"/>
  <c r="R13" i="16" s="1"/>
  <c r="N56" i="16"/>
  <c r="N55" i="16"/>
  <c r="N54" i="16"/>
  <c r="N52" i="16"/>
  <c r="N51" i="16"/>
  <c r="O51" i="16" s="1"/>
  <c r="N48" i="16"/>
  <c r="N41" i="16"/>
  <c r="N40" i="16"/>
  <c r="N38" i="16"/>
  <c r="N37" i="16"/>
  <c r="N36" i="16"/>
  <c r="N30" i="16"/>
  <c r="N26" i="16"/>
  <c r="N23" i="16"/>
  <c r="O23" i="16" s="1"/>
  <c r="N22" i="16"/>
  <c r="N21" i="16"/>
  <c r="N19" i="16"/>
  <c r="O56" i="16"/>
  <c r="O54" i="16"/>
  <c r="O52" i="16"/>
  <c r="O48" i="16"/>
  <c r="O36" i="16"/>
  <c r="O30" i="16"/>
  <c r="O27" i="16"/>
  <c r="O26" i="16"/>
  <c r="O24" i="16"/>
  <c r="O22" i="16"/>
  <c r="O20" i="16"/>
  <c r="O19" i="16"/>
  <c r="O13" i="16"/>
  <c r="K56" i="16"/>
  <c r="L56" i="16" s="1"/>
  <c r="K55" i="16"/>
  <c r="K54" i="16"/>
  <c r="L54" i="16" s="1"/>
  <c r="K52" i="16"/>
  <c r="L52" i="16" s="1"/>
  <c r="K51" i="16"/>
  <c r="L51" i="16" s="1"/>
  <c r="K48" i="16"/>
  <c r="L48" i="16" s="1"/>
  <c r="K43" i="16"/>
  <c r="K41" i="16"/>
  <c r="K40" i="16"/>
  <c r="K39" i="16"/>
  <c r="K38" i="16"/>
  <c r="L38" i="16" s="1"/>
  <c r="K37" i="16"/>
  <c r="L37" i="16" s="1"/>
  <c r="K36" i="16"/>
  <c r="L36" i="16" s="1"/>
  <c r="K31" i="16"/>
  <c r="L31" i="16" s="1"/>
  <c r="K30" i="16"/>
  <c r="L30" i="16" s="1"/>
  <c r="K29" i="16"/>
  <c r="L29" i="16" s="1"/>
  <c r="K27" i="16"/>
  <c r="L27" i="16" s="1"/>
  <c r="K26" i="16"/>
  <c r="L26" i="16" s="1"/>
  <c r="K24" i="16"/>
  <c r="L24" i="16" s="1"/>
  <c r="K23" i="16"/>
  <c r="L23" i="16" s="1"/>
  <c r="K22" i="16"/>
  <c r="L22" i="16" s="1"/>
  <c r="K21" i="16"/>
  <c r="K20" i="16"/>
  <c r="L20" i="16" s="1"/>
  <c r="K19" i="16"/>
  <c r="L19" i="16" s="1"/>
  <c r="K18" i="16"/>
  <c r="L18" i="16" s="1"/>
  <c r="L13" i="16"/>
  <c r="H56" i="16"/>
  <c r="I56" i="16" s="1"/>
  <c r="H55" i="16"/>
  <c r="H54" i="16"/>
  <c r="I54" i="16" s="1"/>
  <c r="H52" i="16"/>
  <c r="I52" i="16" s="1"/>
  <c r="H51" i="16"/>
  <c r="I51" i="16" s="1"/>
  <c r="H48" i="16"/>
  <c r="I48" i="16" s="1"/>
  <c r="H43" i="16"/>
  <c r="H41" i="16"/>
  <c r="H40" i="16"/>
  <c r="H39" i="16"/>
  <c r="H38" i="16"/>
  <c r="H37" i="16"/>
  <c r="H36" i="16"/>
  <c r="H31" i="16"/>
  <c r="H30" i="16"/>
  <c r="H29" i="16"/>
  <c r="H27" i="16"/>
  <c r="H26" i="16"/>
  <c r="H24" i="16"/>
  <c r="H23" i="16"/>
  <c r="H22" i="16"/>
  <c r="H21" i="16"/>
  <c r="H20" i="16"/>
  <c r="H19" i="16"/>
  <c r="H18" i="16"/>
  <c r="E56" i="16"/>
  <c r="E54" i="16"/>
  <c r="E52" i="16"/>
  <c r="E51" i="16"/>
  <c r="E48" i="16"/>
  <c r="E43" i="16"/>
  <c r="E41" i="16"/>
  <c r="E40" i="16"/>
  <c r="E39" i="16"/>
  <c r="E38" i="16"/>
  <c r="E37" i="16"/>
  <c r="E36" i="16"/>
  <c r="E31" i="16"/>
  <c r="E30" i="16"/>
  <c r="E29" i="16"/>
  <c r="E27" i="16"/>
  <c r="E26" i="16"/>
  <c r="E24" i="16"/>
  <c r="E23" i="16"/>
  <c r="E22" i="16"/>
  <c r="E21" i="16"/>
  <c r="E19" i="16"/>
  <c r="E18" i="16"/>
  <c r="I38" i="16"/>
  <c r="I36" i="16"/>
  <c r="I31" i="16"/>
  <c r="I30" i="16"/>
  <c r="I29" i="16"/>
  <c r="I27" i="16"/>
  <c r="I26" i="16"/>
  <c r="I24" i="16"/>
  <c r="I23" i="16"/>
  <c r="I22" i="16"/>
  <c r="I20" i="16"/>
  <c r="I19" i="16"/>
  <c r="I18" i="16"/>
  <c r="F56" i="16"/>
  <c r="F54" i="16"/>
  <c r="F52" i="16"/>
  <c r="F51" i="16"/>
  <c r="F48" i="16"/>
  <c r="F40" i="16"/>
  <c r="F38" i="16"/>
  <c r="F36" i="16"/>
  <c r="F31" i="16"/>
  <c r="F30" i="16"/>
  <c r="F29" i="16"/>
  <c r="F27" i="16"/>
  <c r="F26" i="16"/>
  <c r="F24" i="16"/>
  <c r="F23" i="16"/>
  <c r="F22" i="16"/>
  <c r="F20" i="16"/>
  <c r="F19" i="16"/>
  <c r="F18" i="16"/>
  <c r="F13" i="16"/>
  <c r="AO13" i="16" s="1" a="1"/>
  <c r="AO13" i="16" s="1"/>
  <c r="B23" i="18"/>
  <c r="E42" i="16" s="1"/>
  <c r="AK93" i="16"/>
  <c r="AM93" i="16" s="1"/>
  <c r="AH93" i="16"/>
  <c r="AJ93" i="16" s="1"/>
  <c r="AE93" i="16"/>
  <c r="AG93" i="16" s="1"/>
  <c r="AB93" i="16"/>
  <c r="AD93" i="16" s="1"/>
  <c r="Y93" i="16"/>
  <c r="AA93" i="16" s="1"/>
  <c r="V93" i="16"/>
  <c r="X93" i="16" s="1"/>
  <c r="S93" i="16"/>
  <c r="U93" i="16" s="1"/>
  <c r="P93" i="16"/>
  <c r="R93" i="16" s="1"/>
  <c r="M93" i="16"/>
  <c r="O93" i="16" s="1"/>
  <c r="J93" i="16"/>
  <c r="L93" i="16" s="1"/>
  <c r="G93" i="16"/>
  <c r="I93" i="16" s="1"/>
  <c r="AN63" i="16"/>
  <c r="AK63" i="16"/>
  <c r="AH63" i="16"/>
  <c r="AE63" i="16"/>
  <c r="AB63" i="16"/>
  <c r="Y63" i="16"/>
  <c r="V63" i="16"/>
  <c r="S63" i="16"/>
  <c r="P63" i="16"/>
  <c r="M63" i="16"/>
  <c r="J63" i="16"/>
  <c r="G63" i="16"/>
  <c r="D63" i="16"/>
  <c r="AN123" i="16" a="1"/>
  <c r="AN123" i="16" s="1"/>
  <c r="AN122" i="16" a="1"/>
  <c r="AN122" i="16" s="1"/>
  <c r="AN120" i="16" a="1"/>
  <c r="AN120" i="16" s="1"/>
  <c r="AN119" i="16" a="1"/>
  <c r="AN119" i="16" s="1"/>
  <c r="AN118" i="16" a="1"/>
  <c r="AN118" i="16" s="1"/>
  <c r="K53" i="16" l="1"/>
  <c r="L53" i="16" s="1"/>
  <c r="H53" i="16"/>
  <c r="I53" i="16" s="1"/>
  <c r="E53" i="16"/>
  <c r="F53" i="16" s="1"/>
  <c r="Q20" i="16"/>
  <c r="T20" i="16"/>
  <c r="U20" i="16" s="1"/>
  <c r="P58" i="16"/>
  <c r="AO11" i="16" a="1"/>
  <c r="AO11" i="16" s="1"/>
  <c r="AN11" i="16" a="1"/>
  <c r="AN11" i="16" s="1"/>
  <c r="AO6" i="16" a="1"/>
  <c r="AO6" i="16" s="1"/>
  <c r="AN6" i="16" a="1"/>
  <c r="AN6" i="16" s="1"/>
  <c r="AO7" i="16" a="1"/>
  <c r="AO7" i="16" s="1"/>
  <c r="AN7" i="16" a="1"/>
  <c r="AN7" i="16" s="1"/>
  <c r="AO8" i="16" a="1"/>
  <c r="AO8" i="16" s="1"/>
  <c r="AN8" i="16" a="1"/>
  <c r="AN8" i="16" s="1"/>
  <c r="AO9" i="16" a="1"/>
  <c r="AO9" i="16" s="1"/>
  <c r="AN9" i="16" a="1"/>
  <c r="AN9" i="16" s="1"/>
  <c r="AO10" i="16" a="1"/>
  <c r="AO10" i="16" s="1"/>
  <c r="AN10" i="16" a="1"/>
  <c r="AN10" i="16" s="1"/>
  <c r="AO12" i="16" a="1"/>
  <c r="AO12" i="16" s="1"/>
  <c r="AN12" i="16" a="1"/>
  <c r="AN12" i="16" s="1"/>
  <c r="AO5" i="16" a="1"/>
  <c r="AO5" i="16" s="1"/>
  <c r="AN5" i="16" a="1"/>
  <c r="AN5" i="16" s="1"/>
  <c r="AO18" i="16" a="1"/>
  <c r="AO18" i="16" s="1"/>
  <c r="AO19" i="16" a="1"/>
  <c r="AO19" i="16" s="1"/>
  <c r="AO22" i="16" a="1"/>
  <c r="AO22" i="16" s="1"/>
  <c r="AO23" i="16" a="1"/>
  <c r="AO23" i="16" s="1"/>
  <c r="AO26" i="16" a="1"/>
  <c r="AO26" i="16" s="1"/>
  <c r="AO27" i="16" a="1"/>
  <c r="AO27" i="16" s="1"/>
  <c r="AO29" i="16" a="1"/>
  <c r="AO29" i="16" s="1"/>
  <c r="AO30" i="16" a="1"/>
  <c r="AO30" i="16" s="1"/>
  <c r="AO31" i="16" a="1"/>
  <c r="AO31" i="16" s="1"/>
  <c r="AO36" i="16" a="1"/>
  <c r="AO36" i="16" s="1"/>
  <c r="AO48" i="16" a="1"/>
  <c r="AO48" i="16" s="1"/>
  <c r="AO51" i="16" a="1"/>
  <c r="AO51" i="16" s="1"/>
  <c r="AO52" i="16" a="1"/>
  <c r="AO52" i="16" s="1"/>
  <c r="AO54" i="16" a="1"/>
  <c r="AO54" i="16" s="1"/>
  <c r="AO56" i="16" a="1"/>
  <c r="AO56" i="16" s="1"/>
  <c r="F45" i="16"/>
  <c r="AO32" i="16" a="1"/>
  <c r="AO32" i="16" s="1"/>
  <c r="AO53" i="16" a="1"/>
  <c r="AO53" i="16" s="1"/>
  <c r="AO17" i="16" a="1"/>
  <c r="AO17" i="16" s="1"/>
  <c r="U69" i="16"/>
  <c r="AO70" i="16" a="1"/>
  <c r="AO70" i="16" s="1"/>
  <c r="AN70" i="16" a="1"/>
  <c r="AN70" i="16" s="1"/>
  <c r="R33" i="16"/>
  <c r="AO33" i="16" s="1" a="1"/>
  <c r="AO33" i="16" s="1"/>
  <c r="I123" i="11"/>
  <c r="L123" i="11"/>
  <c r="O123" i="11"/>
  <c r="R123" i="11"/>
  <c r="AN51" i="16" a="1"/>
  <c r="AN51" i="16" s="1"/>
  <c r="AN71" i="16" a="1"/>
  <c r="AN71" i="16" s="1"/>
  <c r="AO71" i="16" a="1"/>
  <c r="AO71" i="16" s="1"/>
  <c r="F113" i="16"/>
  <c r="AN54" i="16" a="1"/>
  <c r="AN54" i="16" s="1"/>
  <c r="AN27" i="16" a="1"/>
  <c r="AN27" i="16" s="1"/>
  <c r="AN35" i="16" a="1"/>
  <c r="AN35" i="16" s="1"/>
  <c r="AN14" i="16" a="1"/>
  <c r="AN14" i="16" s="1"/>
  <c r="AN25" i="16" a="1"/>
  <c r="AN25" i="16" s="1"/>
  <c r="AO72" i="16" a="1"/>
  <c r="AO72" i="16" s="1"/>
  <c r="AO78" i="16" a="1"/>
  <c r="AO78" i="16" s="1"/>
  <c r="AO77" i="16" a="1"/>
  <c r="AO77" i="16" s="1"/>
  <c r="AO76" i="16" a="1"/>
  <c r="AO76" i="16" s="1"/>
  <c r="I44" i="16"/>
  <c r="AJ44" i="16"/>
  <c r="AG45" i="16"/>
  <c r="AD44" i="16"/>
  <c r="AA45" i="16"/>
  <c r="U44" i="16"/>
  <c r="R45" i="16"/>
  <c r="L44" i="16"/>
  <c r="I45" i="16"/>
  <c r="AO80" i="16" a="1"/>
  <c r="AO80" i="16" s="1"/>
  <c r="AO79" i="16" a="1"/>
  <c r="AO79" i="16" s="1"/>
  <c r="AD45" i="16"/>
  <c r="AG44" i="16"/>
  <c r="R44" i="16"/>
  <c r="O45" i="16"/>
  <c r="AM44" i="16"/>
  <c r="AJ45" i="16"/>
  <c r="AA44" i="16"/>
  <c r="X45" i="16"/>
  <c r="X44" i="16"/>
  <c r="U45" i="16"/>
  <c r="AO90" i="16" a="1"/>
  <c r="AO90" i="16" s="1"/>
  <c r="AO89" i="16" a="1"/>
  <c r="AO89" i="16" s="1"/>
  <c r="AO88" i="16" a="1"/>
  <c r="AO88" i="16" s="1"/>
  <c r="AO87" i="16" a="1"/>
  <c r="AO87" i="16" s="1"/>
  <c r="AO86" i="16" a="1"/>
  <c r="AO86" i="16" s="1"/>
  <c r="AO85" i="16" a="1"/>
  <c r="AO85" i="16" s="1"/>
  <c r="AO84" i="16" a="1"/>
  <c r="AO84" i="16" s="1"/>
  <c r="AO83" i="16" a="1"/>
  <c r="AO83" i="16" s="1"/>
  <c r="AO82" i="16" a="1"/>
  <c r="AO82" i="16" s="1"/>
  <c r="AO81" i="16" a="1"/>
  <c r="AO81" i="16" s="1"/>
  <c r="AM45" i="16"/>
  <c r="L45" i="16"/>
  <c r="O44" i="16"/>
  <c r="AO50" i="11" a="1"/>
  <c r="AO50" i="11" s="1"/>
  <c r="AN77" i="16" a="1"/>
  <c r="AN77" i="16" s="1"/>
  <c r="AN89" i="16" a="1"/>
  <c r="AN89" i="16" s="1"/>
  <c r="AN85" i="16" a="1"/>
  <c r="AN85" i="16" s="1"/>
  <c r="AN86" i="16" a="1"/>
  <c r="AN86" i="16" s="1"/>
  <c r="AN88" i="16" a="1"/>
  <c r="AN88" i="16" s="1"/>
  <c r="AN87" i="16" a="1"/>
  <c r="AN87" i="16" s="1"/>
  <c r="AN78" i="16" a="1"/>
  <c r="AN78" i="16" s="1"/>
  <c r="AN90" i="16" a="1"/>
  <c r="AN90" i="16" s="1"/>
  <c r="AN81" i="16" a="1"/>
  <c r="AN81" i="16" s="1"/>
  <c r="AN79" i="16" a="1"/>
  <c r="AN79" i="16" s="1"/>
  <c r="AN80" i="16" a="1"/>
  <c r="AN80" i="16" s="1"/>
  <c r="AN82" i="16" a="1"/>
  <c r="AN82" i="16" s="1"/>
  <c r="AN83" i="16" a="1"/>
  <c r="AN83" i="16" s="1"/>
  <c r="AN84" i="16" a="1"/>
  <c r="AN84" i="16" s="1"/>
  <c r="AN68" i="16" a="1"/>
  <c r="AN68" i="16" s="1"/>
  <c r="AN72" i="16" a="1"/>
  <c r="AN72" i="16" s="1"/>
  <c r="AM55" i="11"/>
  <c r="AM43" i="16"/>
  <c r="AJ43" i="16"/>
  <c r="AG43" i="16"/>
  <c r="AD43" i="16"/>
  <c r="AA43" i="16"/>
  <c r="X43" i="16"/>
  <c r="R43" i="16"/>
  <c r="O43" i="16"/>
  <c r="L43" i="16"/>
  <c r="AM41" i="16"/>
  <c r="AJ41" i="16"/>
  <c r="AD41" i="16"/>
  <c r="AA41" i="16"/>
  <c r="U41" i="16"/>
  <c r="R41" i="16"/>
  <c r="O41" i="16"/>
  <c r="L41" i="16"/>
  <c r="I41" i="16"/>
  <c r="AM40" i="16"/>
  <c r="AJ40" i="16"/>
  <c r="AG40" i="16"/>
  <c r="AD40" i="16"/>
  <c r="AA40" i="16"/>
  <c r="X40" i="16"/>
  <c r="U40" i="16"/>
  <c r="R40" i="16"/>
  <c r="O40" i="16"/>
  <c r="L40" i="16"/>
  <c r="AM39" i="16"/>
  <c r="AJ39" i="16"/>
  <c r="AG39" i="16"/>
  <c r="AD39" i="16"/>
  <c r="AA39" i="16"/>
  <c r="X39" i="16"/>
  <c r="U39" i="16"/>
  <c r="R39" i="16"/>
  <c r="O39" i="16"/>
  <c r="L39" i="16"/>
  <c r="D37" i="16"/>
  <c r="M37" i="16"/>
  <c r="V37" i="16"/>
  <c r="AE37" i="16"/>
  <c r="AN51" i="11" a="1"/>
  <c r="AN51" i="11" s="1"/>
  <c r="AO51" i="11" s="1" a="1"/>
  <c r="AO51" i="11" s="1"/>
  <c r="AL48" i="11"/>
  <c r="AM48" i="11"/>
  <c r="AI48" i="11"/>
  <c r="AH48" i="11"/>
  <c r="AB109" i="11"/>
  <c r="AJ119" i="11"/>
  <c r="AJ116" i="11"/>
  <c r="AJ123" i="11" s="1"/>
  <c r="O37" i="16" l="1"/>
  <c r="M58" i="16"/>
  <c r="R20" i="16"/>
  <c r="AO20" i="16" a="1"/>
  <c r="AO20" i="16" s="1"/>
  <c r="AG37" i="16"/>
  <c r="AE41" i="16"/>
  <c r="AG41" i="16" s="1"/>
  <c r="X37" i="16"/>
  <c r="V41" i="16"/>
  <c r="X41" i="16" s="1"/>
  <c r="AO45" i="16" a="1"/>
  <c r="AO45" i="16" s="1"/>
  <c r="AO69" i="16" a="1"/>
  <c r="AO69" i="16" s="1"/>
  <c r="AN69" i="16" a="1"/>
  <c r="AN69" i="16" s="1"/>
  <c r="AN33" i="16" a="1"/>
  <c r="AN33" i="16" s="1"/>
  <c r="F125" i="16"/>
  <c r="AO113" i="16" a="1"/>
  <c r="AO113" i="16" s="1"/>
  <c r="AG116" i="11"/>
  <c r="AG119" i="11"/>
  <c r="AN45" i="16" a="1"/>
  <c r="AN45" i="16" s="1"/>
  <c r="I37" i="16"/>
  <c r="I40" i="16"/>
  <c r="AO40" i="16" s="1" a="1"/>
  <c r="AO40" i="16" s="1"/>
  <c r="I39" i="16"/>
  <c r="I43" i="16"/>
  <c r="F37" i="16"/>
  <c r="AO37" i="16" s="1" a="1"/>
  <c r="AO37" i="16" s="1"/>
  <c r="F39" i="16"/>
  <c r="AO39" i="16" s="1" a="1"/>
  <c r="AO39" i="16" s="1"/>
  <c r="F41" i="16"/>
  <c r="AO41" i="16" s="1" a="1"/>
  <c r="AO41" i="16" s="1"/>
  <c r="F42" i="16"/>
  <c r="AO42" i="16" s="1" a="1"/>
  <c r="AO42" i="16" s="1"/>
  <c r="F43" i="16"/>
  <c r="AO43" i="16" s="1" a="1"/>
  <c r="AO43" i="16" s="1"/>
  <c r="F44" i="16"/>
  <c r="AO44" i="16" s="1" a="1"/>
  <c r="AO44" i="16" s="1"/>
  <c r="AG123" i="11" l="1"/>
  <c r="AN39" i="16" a="1"/>
  <c r="AN39" i="16" s="1"/>
  <c r="AN122" i="11" a="1"/>
  <c r="AN122" i="11" s="1"/>
  <c r="AO122" i="11" s="1" a="1"/>
  <c r="AO122" i="11" s="1"/>
  <c r="AN121" i="11" a="1"/>
  <c r="AN121" i="11" s="1"/>
  <c r="AO121" i="11" s="1" a="1"/>
  <c r="AO121" i="11" s="1"/>
  <c r="AN120" i="11" a="1"/>
  <c r="AN120" i="11" s="1"/>
  <c r="AO120" i="11" s="1" a="1"/>
  <c r="AO120" i="11" s="1"/>
  <c r="AN119" i="11" a="1"/>
  <c r="AN119" i="11" s="1"/>
  <c r="AO119" i="11" s="1" a="1"/>
  <c r="AO119" i="11" s="1"/>
  <c r="AN118" i="11" a="1"/>
  <c r="AN118" i="11" s="1"/>
  <c r="AO118" i="11" s="1" a="1"/>
  <c r="AO118" i="11" s="1"/>
  <c r="AN117" i="11" a="1"/>
  <c r="AN117" i="11" s="1"/>
  <c r="AO117" i="11" s="1" a="1"/>
  <c r="AO117" i="11" s="1"/>
  <c r="AN116" i="11" a="1"/>
  <c r="AN116" i="11" s="1"/>
  <c r="AO116" i="11" s="1" a="1"/>
  <c r="AO116" i="11" s="1"/>
  <c r="AO123" i="11" s="1"/>
  <c r="AK123" i="11"/>
  <c r="AH123" i="11"/>
  <c r="AE123" i="11"/>
  <c r="AB123" i="11"/>
  <c r="Y123" i="11"/>
  <c r="V123" i="11"/>
  <c r="S123" i="11"/>
  <c r="P123" i="11"/>
  <c r="M123" i="11"/>
  <c r="J123" i="11"/>
  <c r="G123" i="11"/>
  <c r="D123" i="11"/>
  <c r="D125" i="16"/>
  <c r="D130" i="16" l="1"/>
  <c r="AN123" i="11"/>
  <c r="AG55" i="16"/>
  <c r="AD55" i="16"/>
  <c r="AA55" i="16"/>
  <c r="X55" i="16"/>
  <c r="U55" i="16"/>
  <c r="R55" i="16"/>
  <c r="O55" i="16"/>
  <c r="L55" i="16"/>
  <c r="D55" i="16"/>
  <c r="AM21" i="16"/>
  <c r="AJ21" i="16"/>
  <c r="AG21" i="16"/>
  <c r="AD21" i="16"/>
  <c r="AA21" i="16"/>
  <c r="X21" i="16"/>
  <c r="U21" i="16"/>
  <c r="R21" i="16"/>
  <c r="O21" i="16"/>
  <c r="L21" i="16"/>
  <c r="L58" i="16" s="1"/>
  <c r="AK24" i="16"/>
  <c r="AK38" i="16"/>
  <c r="AM38" i="16" s="1"/>
  <c r="AM55" i="16"/>
  <c r="AK101" i="16"/>
  <c r="AK102" i="16"/>
  <c r="AK125" i="16"/>
  <c r="AK130" i="16" s="1"/>
  <c r="Y125" i="16"/>
  <c r="Y130" i="16" s="1"/>
  <c r="S125" i="16"/>
  <c r="S130" i="16" s="1"/>
  <c r="P125" i="16"/>
  <c r="P130" i="16" s="1"/>
  <c r="M125" i="16"/>
  <c r="M130" i="16" s="1"/>
  <c r="J125" i="16"/>
  <c r="J130" i="16" s="1"/>
  <c r="G125" i="16"/>
  <c r="AH125" i="16"/>
  <c r="AH130" i="16" s="1"/>
  <c r="AE125" i="16"/>
  <c r="AE130" i="16" s="1"/>
  <c r="AN111" i="16" a="1"/>
  <c r="AN111" i="16" s="1"/>
  <c r="AN110" i="16" a="1"/>
  <c r="AN110" i="16" s="1"/>
  <c r="AN109" i="16" a="1"/>
  <c r="AN109" i="16" s="1"/>
  <c r="AN108" i="16" a="1"/>
  <c r="AN108" i="16" s="1"/>
  <c r="AH102" i="16"/>
  <c r="AE102" i="16"/>
  <c r="AB102" i="16"/>
  <c r="Y102" i="16"/>
  <c r="V102" i="16"/>
  <c r="S102" i="16"/>
  <c r="P102" i="16"/>
  <c r="M102" i="16"/>
  <c r="J102" i="16"/>
  <c r="G102" i="16"/>
  <c r="D102" i="16"/>
  <c r="AH101" i="16"/>
  <c r="AE101" i="16"/>
  <c r="AB101" i="16"/>
  <c r="Y101" i="16"/>
  <c r="V101" i="16"/>
  <c r="S101" i="16"/>
  <c r="P101" i="16"/>
  <c r="M101" i="16"/>
  <c r="J101" i="16"/>
  <c r="G101" i="16"/>
  <c r="D93" i="16"/>
  <c r="AN76" i="16" a="1"/>
  <c r="AN76" i="16" s="1"/>
  <c r="AN92" i="16" s="1"/>
  <c r="AN74" i="16"/>
  <c r="AJ55" i="16"/>
  <c r="AN52" i="16" a="1"/>
  <c r="AN52" i="16" s="1"/>
  <c r="AJ38" i="16"/>
  <c r="AE38" i="16"/>
  <c r="AG38" i="16" s="1"/>
  <c r="AB38" i="16"/>
  <c r="AD38" i="16" s="1"/>
  <c r="Y38" i="16"/>
  <c r="AA38" i="16" s="1"/>
  <c r="S38" i="16"/>
  <c r="U38" i="16" s="1"/>
  <c r="AN37" i="16" a="1"/>
  <c r="AN37" i="16" s="1"/>
  <c r="AN36" i="16" a="1"/>
  <c r="AN36" i="16" s="1"/>
  <c r="AN31" i="16" a="1"/>
  <c r="AN31" i="16" s="1"/>
  <c r="AN30" i="16" a="1"/>
  <c r="AN30" i="16" s="1"/>
  <c r="AN29" i="16" a="1"/>
  <c r="AN29" i="16" s="1"/>
  <c r="AN26" i="16" a="1"/>
  <c r="AN26" i="16" s="1"/>
  <c r="AH24" i="16"/>
  <c r="AE24" i="16"/>
  <c r="AB24" i="16"/>
  <c r="Y24" i="16"/>
  <c r="V24" i="16"/>
  <c r="S24" i="16"/>
  <c r="AN23" i="16" a="1"/>
  <c r="AN23" i="16" s="1"/>
  <c r="AN18" i="16" a="1"/>
  <c r="AN18" i="16" s="1"/>
  <c r="AN13" i="16" a="1"/>
  <c r="AN13" i="16" s="1"/>
  <c r="AM42" i="11"/>
  <c r="AH42" i="11"/>
  <c r="AJ42" i="11" s="1"/>
  <c r="AN26" i="15" a="1"/>
  <c r="AN26" i="15" s="1"/>
  <c r="AN25" i="15" a="1"/>
  <c r="AN25" i="15" s="1"/>
  <c r="AN24" i="15" a="1"/>
  <c r="AN24" i="15" s="1"/>
  <c r="AN23" i="15" a="1"/>
  <c r="AN23" i="15" s="1"/>
  <c r="AN22" i="15" a="1"/>
  <c r="AN22" i="15" s="1"/>
  <c r="AN21" i="15" a="1"/>
  <c r="AN21" i="15" s="1"/>
  <c r="AN20" i="15" a="1"/>
  <c r="AN20" i="15" s="1"/>
  <c r="AN17" i="15" a="1"/>
  <c r="AN17" i="15" s="1"/>
  <c r="AN16" i="15" a="1"/>
  <c r="AN16" i="15" s="1"/>
  <c r="AN15" i="15" a="1"/>
  <c r="AN15" i="15" s="1"/>
  <c r="AN14" i="15" a="1"/>
  <c r="AN14" i="15" s="1"/>
  <c r="AN13" i="15" a="1"/>
  <c r="AN13" i="15" s="1"/>
  <c r="AN12" i="15" a="1"/>
  <c r="AN12" i="15" s="1"/>
  <c r="AN11" i="15" a="1"/>
  <c r="AN11" i="15" s="1"/>
  <c r="AN10" i="15" a="1"/>
  <c r="AN10" i="15" s="1"/>
  <c r="AN9" i="15" a="1"/>
  <c r="AN9" i="15" s="1"/>
  <c r="AD109" i="11"/>
  <c r="U24" i="16" l="1"/>
  <c r="S58" i="16"/>
  <c r="X24" i="16"/>
  <c r="V58" i="16"/>
  <c r="AA24" i="16"/>
  <c r="Y58" i="16"/>
  <c r="AD24" i="16"/>
  <c r="AB58" i="16"/>
  <c r="AG24" i="16"/>
  <c r="AE58" i="16"/>
  <c r="AJ24" i="16"/>
  <c r="AH58" i="16"/>
  <c r="AM24" i="16"/>
  <c r="AK58" i="16"/>
  <c r="X58" i="16"/>
  <c r="AA58" i="16"/>
  <c r="AD58" i="16"/>
  <c r="AG58" i="16"/>
  <c r="AJ58" i="16"/>
  <c r="AM58" i="16"/>
  <c r="AN93" i="16"/>
  <c r="G130" i="16"/>
  <c r="R24" i="16"/>
  <c r="R58" i="16" s="1"/>
  <c r="O38" i="16"/>
  <c r="O58" i="16" s="1"/>
  <c r="D101" i="16"/>
  <c r="F93" i="16"/>
  <c r="AO93" i="16" s="1" a="1"/>
  <c r="AO93" i="16" s="1"/>
  <c r="I21" i="16"/>
  <c r="I55" i="16"/>
  <c r="F21" i="16"/>
  <c r="F55" i="16"/>
  <c r="AO55" i="16" s="1" a="1"/>
  <c r="AO55" i="16" s="1"/>
  <c r="D65" i="16"/>
  <c r="G65" i="16"/>
  <c r="J65" i="16"/>
  <c r="J100" i="16" s="1"/>
  <c r="J103" i="16" s="1"/>
  <c r="J132" i="16" s="1"/>
  <c r="V65" i="16"/>
  <c r="V100" i="16" s="1"/>
  <c r="V103" i="16" s="1"/>
  <c r="AE65" i="16"/>
  <c r="AE100" i="16" s="1"/>
  <c r="AE103" i="16" s="1"/>
  <c r="AE132" i="16" s="1"/>
  <c r="AK65" i="16"/>
  <c r="AK100" i="16" s="1"/>
  <c r="AK103" i="16" s="1"/>
  <c r="AK132" i="16" s="1"/>
  <c r="M65" i="16"/>
  <c r="M100" i="16" s="1"/>
  <c r="M103" i="16" s="1"/>
  <c r="M132" i="16" s="1"/>
  <c r="S65" i="16"/>
  <c r="S100" i="16" s="1"/>
  <c r="S103" i="16" s="1"/>
  <c r="S132" i="16" s="1"/>
  <c r="G100" i="16"/>
  <c r="G103" i="16" s="1"/>
  <c r="G132" i="16" s="1"/>
  <c r="AN21" i="16" a="1"/>
  <c r="AN21" i="16" s="1"/>
  <c r="AN102" i="16"/>
  <c r="AN19" i="16" a="1"/>
  <c r="AN19" i="16" s="1"/>
  <c r="AN20" i="16" a="1"/>
  <c r="AN20" i="16" s="1"/>
  <c r="AN24" i="16" a="1"/>
  <c r="AN24" i="16" s="1"/>
  <c r="AN40" i="16" a="1"/>
  <c r="AN40" i="16" s="1"/>
  <c r="AN42" i="16" a="1"/>
  <c r="AN42" i="16" s="1"/>
  <c r="AN41" i="16" a="1"/>
  <c r="AN41" i="16" s="1"/>
  <c r="AN43" i="16" a="1"/>
  <c r="AN43" i="16" s="1"/>
  <c r="AN44" i="16" a="1"/>
  <c r="AN44" i="16" s="1"/>
  <c r="AN48" i="16" a="1"/>
  <c r="AN48" i="16" s="1"/>
  <c r="AN53" i="16" a="1"/>
  <c r="AN53" i="16" s="1"/>
  <c r="AN55" i="16" a="1"/>
  <c r="AN55" i="16" s="1"/>
  <c r="AN56" i="16" a="1"/>
  <c r="AN56" i="16" s="1"/>
  <c r="AN101" i="16"/>
  <c r="V125" i="16"/>
  <c r="AN115" i="16" a="1"/>
  <c r="AN115" i="16" s="1"/>
  <c r="AB125" i="16"/>
  <c r="AB130" i="16" s="1"/>
  <c r="AN116" i="16" a="1"/>
  <c r="AN116" i="16" s="1"/>
  <c r="AJ54" i="11"/>
  <c r="AN54" i="11" s="1" a="1"/>
  <c r="AN54" i="11" s="1"/>
  <c r="AM54" i="11"/>
  <c r="AN85" i="11" a="1"/>
  <c r="AN85" i="11" s="1"/>
  <c r="AO85" i="11" s="1" a="1"/>
  <c r="AO85" i="11" s="1"/>
  <c r="AN84" i="11" a="1"/>
  <c r="AN84" i="11" s="1"/>
  <c r="AO84" i="11" s="1" a="1"/>
  <c r="AO84" i="11" s="1"/>
  <c r="AN55" i="11" a="1"/>
  <c r="AN55" i="11" s="1"/>
  <c r="AN82" i="11" a="1"/>
  <c r="AN82" i="11" s="1"/>
  <c r="AO82" i="11" s="1" a="1"/>
  <c r="AO82" i="11" s="1"/>
  <c r="AN76" i="11" a="1"/>
  <c r="AN76" i="11" s="1"/>
  <c r="AN75" i="11" a="1"/>
  <c r="AN75" i="11" s="1"/>
  <c r="AN74" i="11" a="1"/>
  <c r="AN74" i="11" s="1"/>
  <c r="AN83" i="11" a="1"/>
  <c r="AN83" i="11" s="1"/>
  <c r="AO83" i="11" s="1" a="1"/>
  <c r="AO83" i="11" s="1"/>
  <c r="AN72" i="11" a="1"/>
  <c r="AN72" i="11" s="1"/>
  <c r="AN81" i="11" a="1"/>
  <c r="AN81" i="11" s="1"/>
  <c r="AO81" i="11" s="1" a="1"/>
  <c r="AO81" i="11" s="1"/>
  <c r="AN71" i="11" a="1"/>
  <c r="AN71" i="11" s="1"/>
  <c r="AO71" i="11" s="1" a="1"/>
  <c r="AO71" i="11" s="1"/>
  <c r="AN80" i="11" a="1"/>
  <c r="AN80" i="11" s="1"/>
  <c r="AO80" i="11" s="1" a="1"/>
  <c r="AO80" i="11" s="1"/>
  <c r="AK90" i="11"/>
  <c r="AJ90" i="11"/>
  <c r="AI90" i="11"/>
  <c r="AH90" i="11"/>
  <c r="AG90" i="11"/>
  <c r="AF90" i="11"/>
  <c r="AE90" i="11"/>
  <c r="AD90" i="11"/>
  <c r="AC90" i="11"/>
  <c r="AB90" i="11"/>
  <c r="AA90" i="11"/>
  <c r="Z90" i="11"/>
  <c r="Y90" i="11"/>
  <c r="X90" i="11"/>
  <c r="W90" i="11"/>
  <c r="V90" i="11"/>
  <c r="V97" i="11" s="1"/>
  <c r="U90" i="11"/>
  <c r="T90" i="11"/>
  <c r="S90" i="11"/>
  <c r="R90" i="11"/>
  <c r="Q90" i="11"/>
  <c r="P90" i="11"/>
  <c r="O90" i="11"/>
  <c r="N90" i="11"/>
  <c r="M90" i="11"/>
  <c r="M97" i="11" s="1"/>
  <c r="L90" i="11"/>
  <c r="K90" i="11"/>
  <c r="J90" i="11"/>
  <c r="J97" i="11" s="1"/>
  <c r="I90" i="11"/>
  <c r="H90" i="11"/>
  <c r="G90" i="11"/>
  <c r="G97" i="11" s="1"/>
  <c r="F90" i="11"/>
  <c r="E90" i="11"/>
  <c r="D90" i="11"/>
  <c r="AM74" i="11"/>
  <c r="AM65" i="11"/>
  <c r="AJ65" i="11"/>
  <c r="AG65" i="11"/>
  <c r="AD65" i="11"/>
  <c r="AN108" i="11" a="1"/>
  <c r="AN108" i="11" s="1"/>
  <c r="AO108" i="11" s="1" a="1"/>
  <c r="AO108" i="11" s="1"/>
  <c r="AN107" i="11" a="1"/>
  <c r="AN107" i="11" s="1"/>
  <c r="AO107" i="11" s="1" a="1"/>
  <c r="AO107" i="11" s="1"/>
  <c r="AN106" i="11" a="1"/>
  <c r="AN106" i="11" s="1"/>
  <c r="AO106" i="11" s="1" a="1"/>
  <c r="AO106" i="11" s="1"/>
  <c r="AN105" i="11" a="1"/>
  <c r="AN105" i="11" s="1"/>
  <c r="AO105" i="11" s="1" a="1"/>
  <c r="AO105" i="11" s="1"/>
  <c r="AN104" i="11" a="1"/>
  <c r="AN104" i="11" s="1"/>
  <c r="AO104" i="11" s="1" a="1"/>
  <c r="AO104" i="11" s="1"/>
  <c r="AM44" i="11"/>
  <c r="AJ44" i="11"/>
  <c r="AG44" i="11"/>
  <c r="AD44" i="11"/>
  <c r="AA44" i="11"/>
  <c r="X46" i="11"/>
  <c r="U46" i="11"/>
  <c r="U45" i="11"/>
  <c r="R46" i="11"/>
  <c r="R45" i="11"/>
  <c r="O46" i="11"/>
  <c r="O45" i="11"/>
  <c r="L46" i="11"/>
  <c r="L45" i="11"/>
  <c r="I46" i="11"/>
  <c r="I45" i="11"/>
  <c r="F46" i="11"/>
  <c r="F45" i="11"/>
  <c r="X44" i="11"/>
  <c r="V45" i="11"/>
  <c r="X45" i="11" s="1"/>
  <c r="AL113" i="11"/>
  <c r="AL130" i="11" s="1"/>
  <c r="AI113" i="11"/>
  <c r="AI130" i="11" s="1"/>
  <c r="AF113" i="11"/>
  <c r="AF130" i="11" s="1"/>
  <c r="AC113" i="11"/>
  <c r="AC130" i="11" s="1"/>
  <c r="Z113" i="11"/>
  <c r="Z130" i="11" s="1"/>
  <c r="Y113" i="11"/>
  <c r="Y130" i="11" s="1"/>
  <c r="T113" i="11"/>
  <c r="T130" i="11" s="1"/>
  <c r="S113" i="11"/>
  <c r="S130" i="11" s="1"/>
  <c r="Q113" i="11"/>
  <c r="Q130" i="11" s="1"/>
  <c r="P113" i="11"/>
  <c r="P130" i="11" s="1"/>
  <c r="N113" i="11"/>
  <c r="N130" i="11" s="1"/>
  <c r="M113" i="11"/>
  <c r="M130" i="11" s="1"/>
  <c r="K113" i="11"/>
  <c r="K130" i="11" s="1"/>
  <c r="J113" i="11"/>
  <c r="J130" i="11" s="1"/>
  <c r="H113" i="11"/>
  <c r="H130" i="11" s="1"/>
  <c r="G113" i="11"/>
  <c r="G130" i="11" s="1"/>
  <c r="E113" i="11"/>
  <c r="E130" i="11" s="1"/>
  <c r="D113" i="11"/>
  <c r="D130" i="11" s="1"/>
  <c r="A18" i="13" a="1"/>
  <c r="A18" i="13" s="1"/>
  <c r="A3" i="13" a="1"/>
  <c r="AL90" i="11"/>
  <c r="J96" i="11"/>
  <c r="G96" i="11"/>
  <c r="AN21" i="11" a="1"/>
  <c r="AN21" i="11" s="1"/>
  <c r="AM76" i="11"/>
  <c r="AM75" i="11"/>
  <c r="AM73" i="11"/>
  <c r="AM72" i="11"/>
  <c r="AK63" i="11"/>
  <c r="AH63" i="11"/>
  <c r="AG62" i="11"/>
  <c r="AD62" i="11"/>
  <c r="AM62" i="11"/>
  <c r="AJ62" i="11"/>
  <c r="AM58" i="11"/>
  <c r="AJ58" i="11"/>
  <c r="AG58" i="11"/>
  <c r="AD58" i="11"/>
  <c r="AF49" i="11"/>
  <c r="AL22" i="11"/>
  <c r="AI22" i="11"/>
  <c r="AF22" i="11"/>
  <c r="AC22" i="11"/>
  <c r="AM20" i="11"/>
  <c r="AJ20" i="11"/>
  <c r="AG20" i="11"/>
  <c r="W109" i="11"/>
  <c r="V109" i="11"/>
  <c r="X110" i="11"/>
  <c r="V110" i="11"/>
  <c r="AN73" i="11" a="1"/>
  <c r="AN73" i="11" s="1"/>
  <c r="AN37" i="11" a="1"/>
  <c r="AN37" i="11" s="1"/>
  <c r="AO37" i="11" s="1" a="1"/>
  <c r="AO37" i="11" s="1"/>
  <c r="X19" i="11"/>
  <c r="W19" i="11"/>
  <c r="AD49" i="11"/>
  <c r="AA49" i="11"/>
  <c r="AE36" i="11"/>
  <c r="AN36" i="11" s="1" a="1"/>
  <c r="AN36" i="11" s="1"/>
  <c r="AO36" i="11" s="1" a="1"/>
  <c r="AO36" i="11" s="1"/>
  <c r="AA109" i="11"/>
  <c r="F109" i="11"/>
  <c r="I109" i="11"/>
  <c r="L109" i="11"/>
  <c r="O109" i="11"/>
  <c r="R109" i="11"/>
  <c r="U109" i="11"/>
  <c r="F16" i="11"/>
  <c r="AN53" i="11" a="1"/>
  <c r="AN53" i="11" s="1"/>
  <c r="AO53" i="11" s="1" a="1"/>
  <c r="AO53" i="11" s="1"/>
  <c r="AN14" i="11" a="1"/>
  <c r="AN14" i="11" s="1"/>
  <c r="X61" i="11"/>
  <c r="AA61" i="11"/>
  <c r="U61" i="11"/>
  <c r="R61" i="11"/>
  <c r="O61" i="11"/>
  <c r="O65" i="11"/>
  <c r="L65" i="11"/>
  <c r="L52" i="11"/>
  <c r="O48" i="11"/>
  <c r="O42" i="11"/>
  <c r="O47" i="11"/>
  <c r="O43" i="11"/>
  <c r="L41" i="11"/>
  <c r="L48" i="11"/>
  <c r="L42" i="11"/>
  <c r="L47" i="11"/>
  <c r="L43" i="11"/>
  <c r="AM45" i="11"/>
  <c r="AJ45" i="11"/>
  <c r="AG45" i="11"/>
  <c r="AD45" i="11"/>
  <c r="AA45" i="11"/>
  <c r="O24" i="11"/>
  <c r="AN38" i="11" a="1"/>
  <c r="AN38" i="11" s="1"/>
  <c r="AO38" i="11" s="1" a="1"/>
  <c r="AO38" i="11" s="1"/>
  <c r="Y24" i="11"/>
  <c r="Y43" i="11"/>
  <c r="AA47" i="11"/>
  <c r="AA42" i="11"/>
  <c r="AA48" i="11"/>
  <c r="Y41" i="11"/>
  <c r="AA41" i="11" s="1"/>
  <c r="AN35" i="11" a="1"/>
  <c r="AN35" i="11" s="1"/>
  <c r="AO35" i="11" s="1" a="1"/>
  <c r="AO35" i="11" s="1"/>
  <c r="AN103" i="11" a="1"/>
  <c r="AN103" i="11" s="1"/>
  <c r="AO103" i="11" s="1" a="1"/>
  <c r="AO103" i="11" s="1"/>
  <c r="AN102" i="11" a="1"/>
  <c r="AN102" i="11" s="1"/>
  <c r="AO102" i="11" s="1" a="1"/>
  <c r="AO102" i="11" s="1"/>
  <c r="M59" i="11"/>
  <c r="AK24" i="11"/>
  <c r="AH24" i="11"/>
  <c r="AE24" i="11"/>
  <c r="AB24" i="11"/>
  <c r="V24" i="11"/>
  <c r="S24" i="11"/>
  <c r="P24" i="11"/>
  <c r="AK98" i="11"/>
  <c r="AH98" i="11"/>
  <c r="AE98" i="11"/>
  <c r="AB98" i="11"/>
  <c r="Y98" i="11"/>
  <c r="V98" i="11"/>
  <c r="S98" i="11"/>
  <c r="P98" i="11"/>
  <c r="M98" i="11"/>
  <c r="J98" i="11"/>
  <c r="G98" i="11"/>
  <c r="D98" i="11"/>
  <c r="AM41" i="11"/>
  <c r="AJ41" i="11"/>
  <c r="AG41" i="11"/>
  <c r="AB41" i="11"/>
  <c r="AD41" i="11" s="1"/>
  <c r="X41" i="11"/>
  <c r="S41" i="11"/>
  <c r="U41" i="11" s="1"/>
  <c r="R41" i="11"/>
  <c r="M41" i="11"/>
  <c r="AJ48" i="11"/>
  <c r="AE48" i="11"/>
  <c r="AG48" i="11" s="1"/>
  <c r="AB48" i="11"/>
  <c r="AD48" i="11" s="1"/>
  <c r="V48" i="11"/>
  <c r="X48" i="11" s="1"/>
  <c r="U48" i="11"/>
  <c r="P48" i="11"/>
  <c r="R48" i="11" s="1"/>
  <c r="D48" i="11"/>
  <c r="AE42" i="11"/>
  <c r="AG42" i="11" s="1"/>
  <c r="AD42" i="11"/>
  <c r="V42" i="11"/>
  <c r="X42" i="11" s="1"/>
  <c r="U42" i="11"/>
  <c r="R42" i="11"/>
  <c r="AE47" i="11"/>
  <c r="AG47" i="11" s="1"/>
  <c r="AB47" i="11"/>
  <c r="AD47" i="11" s="1"/>
  <c r="X47" i="11"/>
  <c r="U47" i="11"/>
  <c r="P47" i="11"/>
  <c r="R47" i="11" s="1"/>
  <c r="D47" i="11"/>
  <c r="AH43" i="11"/>
  <c r="X43" i="11"/>
  <c r="U43" i="11"/>
  <c r="R43" i="11"/>
  <c r="D39" i="11"/>
  <c r="AO21" i="16" l="1" a="1"/>
  <c r="AO21" i="16" s="1"/>
  <c r="F58" i="16"/>
  <c r="I58" i="16"/>
  <c r="AO38" i="16" a="1"/>
  <c r="AO38" i="16" s="1"/>
  <c r="AO24" i="16" a="1"/>
  <c r="AO24" i="16" s="1"/>
  <c r="V130" i="16"/>
  <c r="AO125" i="16" a="1"/>
  <c r="AO125" i="16" s="1"/>
  <c r="D100" i="16"/>
  <c r="D103" i="16" s="1"/>
  <c r="D132" i="16" s="1"/>
  <c r="P65" i="16"/>
  <c r="AH65" i="16"/>
  <c r="AH100" i="16" s="1"/>
  <c r="AH103" i="16" s="1"/>
  <c r="AH132" i="16" s="1"/>
  <c r="Y65" i="16"/>
  <c r="Y100" i="16" s="1"/>
  <c r="Y103" i="16" s="1"/>
  <c r="Y132" i="16" s="1"/>
  <c r="AB65" i="16"/>
  <c r="AB100" i="16" s="1"/>
  <c r="AB103" i="16" s="1"/>
  <c r="AB132" i="16" s="1"/>
  <c r="AN58" i="11" a="1"/>
  <c r="AN58" i="11" s="1"/>
  <c r="AO58" i="11" s="1" a="1"/>
  <c r="AO58" i="11" s="1"/>
  <c r="V132" i="16"/>
  <c r="AN113" i="16" a="1"/>
  <c r="AN113" i="16" s="1"/>
  <c r="AN38" i="16" a="1"/>
  <c r="AN38" i="16" s="1"/>
  <c r="AN22" i="16" a="1"/>
  <c r="AN22" i="16" s="1"/>
  <c r="AN110" i="11" a="1"/>
  <c r="AN110" i="11" s="1"/>
  <c r="AO110" i="11" s="1" a="1"/>
  <c r="AO110" i="11" s="1"/>
  <c r="AN111" i="11" a="1"/>
  <c r="AN111" i="11" s="1"/>
  <c r="AO111" i="11" s="1" a="1"/>
  <c r="AO111" i="11" s="1"/>
  <c r="AN62" i="11" a="1"/>
  <c r="AN62" i="11" s="1"/>
  <c r="AO62" i="11" s="1" a="1"/>
  <c r="AO62" i="11" s="1"/>
  <c r="AJ49" i="11"/>
  <c r="AN44" i="11" a="1"/>
  <c r="AN44" i="11" s="1"/>
  <c r="AO44" i="11" s="1" a="1"/>
  <c r="AO44" i="11" s="1"/>
  <c r="AO54" i="11" a="1"/>
  <c r="AO54" i="11" s="1"/>
  <c r="AO72" i="11" a="1"/>
  <c r="AO72" i="11" s="1"/>
  <c r="AO74" i="11" a="1"/>
  <c r="AO74" i="11" s="1"/>
  <c r="AO75" i="11" a="1"/>
  <c r="AO75" i="11" s="1"/>
  <c r="AO76" i="11" a="1"/>
  <c r="AO76" i="11" s="1"/>
  <c r="AO55" i="11" a="1"/>
  <c r="AO55" i="11" s="1"/>
  <c r="AN46" i="11" a="1"/>
  <c r="AN46" i="11" s="1"/>
  <c r="AO46" i="11" s="1" a="1"/>
  <c r="AO46" i="11" s="1"/>
  <c r="AK113" i="11"/>
  <c r="AK130" i="11" s="1"/>
  <c r="W113" i="11"/>
  <c r="W130" i="11" s="1"/>
  <c r="AB113" i="11"/>
  <c r="AB130" i="11" s="1"/>
  <c r="AH113" i="11"/>
  <c r="AH130" i="11" s="1"/>
  <c r="AE113" i="11"/>
  <c r="AE130" i="11" s="1"/>
  <c r="AA113" i="11"/>
  <c r="AA130" i="11" s="1"/>
  <c r="F113" i="11"/>
  <c r="F130" i="11" s="1"/>
  <c r="I113" i="11"/>
  <c r="I130" i="11" s="1"/>
  <c r="L113" i="11"/>
  <c r="L130" i="11" s="1"/>
  <c r="O113" i="11"/>
  <c r="O130" i="11" s="1"/>
  <c r="R113" i="11"/>
  <c r="R130" i="11" s="1"/>
  <c r="U113" i="11"/>
  <c r="U130" i="11" s="1"/>
  <c r="AM49" i="11"/>
  <c r="X109" i="11"/>
  <c r="A3" i="13"/>
  <c r="AG49" i="11"/>
  <c r="V96" i="11"/>
  <c r="V99" i="11" s="1"/>
  <c r="AB96" i="11"/>
  <c r="AE96" i="11"/>
  <c r="P96" i="11"/>
  <c r="AM113" i="11"/>
  <c r="AM130" i="11" s="1"/>
  <c r="AJ113" i="11"/>
  <c r="AJ130" i="11" s="1"/>
  <c r="AG113" i="11"/>
  <c r="AG130" i="11" s="1"/>
  <c r="AD113" i="11"/>
  <c r="AD130" i="11" s="1"/>
  <c r="AM22" i="11"/>
  <c r="AJ22" i="11"/>
  <c r="AG22" i="11"/>
  <c r="AD22" i="11"/>
  <c r="AO14" i="11" a="1"/>
  <c r="AO14" i="11" s="1"/>
  <c r="O41" i="11"/>
  <c r="M96" i="11"/>
  <c r="M99" i="11" s="1"/>
  <c r="F39" i="11"/>
  <c r="AO73" i="11" a="1"/>
  <c r="AO73" i="11" s="1"/>
  <c r="AN90" i="11"/>
  <c r="V113" i="11"/>
  <c r="V130" i="11" s="1"/>
  <c r="AD43" i="11"/>
  <c r="AG43" i="11"/>
  <c r="AJ43" i="11"/>
  <c r="AM43" i="11"/>
  <c r="AA43" i="11"/>
  <c r="AE97" i="11"/>
  <c r="P97" i="11"/>
  <c r="AN45" i="11" a="1"/>
  <c r="AN45" i="11" s="1"/>
  <c r="AO45" i="11" s="1" a="1"/>
  <c r="AO45" i="11" s="1"/>
  <c r="J99" i="11"/>
  <c r="AN42" i="11" a="1"/>
  <c r="AN42" i="11" s="1"/>
  <c r="AO42" i="11" s="1" a="1"/>
  <c r="AO42" i="11" s="1"/>
  <c r="AN47" i="11" a="1"/>
  <c r="AN47" i="11" s="1"/>
  <c r="AO47" i="11" s="1" a="1"/>
  <c r="AO47" i="11" s="1"/>
  <c r="AN24" i="11" a="1"/>
  <c r="AN24" i="11" s="1"/>
  <c r="AO24" i="11" s="1" a="1"/>
  <c r="AO24" i="11" s="1"/>
  <c r="AN33" i="11" a="1"/>
  <c r="AN33" i="11" s="1"/>
  <c r="AO33" i="11" s="1" a="1"/>
  <c r="AO33" i="11" s="1"/>
  <c r="AN15" i="11" a="1"/>
  <c r="AN15" i="11" s="1"/>
  <c r="AN17" i="11" a="1"/>
  <c r="AN17" i="11" s="1"/>
  <c r="AO17" i="11" s="1" a="1"/>
  <c r="AO17" i="11" s="1"/>
  <c r="AN18" i="11" a="1"/>
  <c r="AN18" i="11" s="1"/>
  <c r="AO18" i="11" s="1" a="1"/>
  <c r="AO18" i="11" s="1"/>
  <c r="AN19" i="11" a="1"/>
  <c r="AN19" i="11" s="1"/>
  <c r="AO19" i="11" s="1" a="1"/>
  <c r="AO19" i="11" s="1"/>
  <c r="AN20" i="11" a="1"/>
  <c r="AN20" i="11" s="1"/>
  <c r="AO20" i="11" s="1" a="1"/>
  <c r="AO20" i="11" s="1"/>
  <c r="AO21" i="11" a="1"/>
  <c r="AO21" i="11" s="1"/>
  <c r="AN23" i="11" a="1"/>
  <c r="AN23" i="11" s="1"/>
  <c r="AO23" i="11" s="1" a="1"/>
  <c r="AO23" i="11" s="1"/>
  <c r="AN25" i="11" a="1"/>
  <c r="AN25" i="11" s="1"/>
  <c r="AO25" i="11" s="1" a="1"/>
  <c r="AO25" i="11" s="1"/>
  <c r="AN26" i="11" a="1"/>
  <c r="AN26" i="11" s="1"/>
  <c r="AO26" i="11" s="1" a="1"/>
  <c r="AO26" i="11" s="1"/>
  <c r="AN29" i="11" a="1"/>
  <c r="AN29" i="11" s="1"/>
  <c r="AO29" i="11" s="1" a="1"/>
  <c r="AO29" i="11" s="1"/>
  <c r="AN40" i="11" a="1"/>
  <c r="AN40" i="11" s="1"/>
  <c r="AO40" i="11" s="1" a="1"/>
  <c r="AO40" i="11" s="1"/>
  <c r="AN52" i="11" a="1"/>
  <c r="AN52" i="11" s="1"/>
  <c r="AO52" i="11" s="1" a="1"/>
  <c r="AO52" i="11" s="1"/>
  <c r="AN56" i="11" a="1"/>
  <c r="AN56" i="11" s="1"/>
  <c r="AO56" i="11" s="1" a="1"/>
  <c r="AO56" i="11" s="1"/>
  <c r="AN57" i="11" a="1"/>
  <c r="AN57" i="11" s="1"/>
  <c r="AO57" i="11" s="1" a="1"/>
  <c r="AO57" i="11" s="1"/>
  <c r="AN59" i="11" a="1"/>
  <c r="AN59" i="11" s="1"/>
  <c r="AO59" i="11" s="1" a="1"/>
  <c r="AO59" i="11" s="1"/>
  <c r="AN60" i="11" a="1"/>
  <c r="AN60" i="11" s="1"/>
  <c r="AO60" i="11" s="1" a="1"/>
  <c r="AO60" i="11" s="1"/>
  <c r="AN61" i="11" a="1"/>
  <c r="AN61" i="11" s="1"/>
  <c r="AO61" i="11" s="1" a="1"/>
  <c r="AO61" i="11" s="1"/>
  <c r="AN63" i="11" a="1"/>
  <c r="AN63" i="11" s="1"/>
  <c r="AO63" i="11" s="1" a="1"/>
  <c r="AO63" i="11" s="1"/>
  <c r="AN27" i="11" a="1"/>
  <c r="AN27" i="11" s="1"/>
  <c r="AO27" i="11" s="1" a="1"/>
  <c r="AO27" i="11" s="1"/>
  <c r="AN30" i="11" a="1"/>
  <c r="AN30" i="11" s="1"/>
  <c r="AO30" i="11" s="1" a="1"/>
  <c r="AO30" i="11" s="1"/>
  <c r="AN64" i="11" a="1"/>
  <c r="AN64" i="11" s="1"/>
  <c r="AO64" i="11" s="1" a="1"/>
  <c r="AO64" i="11" s="1"/>
  <c r="AN28" i="11" a="1"/>
  <c r="AN28" i="11" s="1"/>
  <c r="AO28" i="11" s="1" a="1"/>
  <c r="AO28" i="11" s="1"/>
  <c r="AN31" i="11" a="1"/>
  <c r="AN31" i="11" s="1"/>
  <c r="AO31" i="11" s="1" a="1"/>
  <c r="AO31" i="11" s="1"/>
  <c r="AN16" i="11" a="1"/>
  <c r="AN16" i="11" s="1"/>
  <c r="AO16" i="11" s="1" a="1"/>
  <c r="AO16" i="11" s="1"/>
  <c r="AN65" i="11" a="1"/>
  <c r="AN65" i="11" s="1"/>
  <c r="AO65" i="11" s="1" a="1"/>
  <c r="AO65" i="11" s="1"/>
  <c r="AN98" i="11"/>
  <c r="G99" i="11"/>
  <c r="D97" i="11"/>
  <c r="P100" i="16" l="1"/>
  <c r="P103" i="16" s="1"/>
  <c r="P132" i="16" s="1"/>
  <c r="AO65" i="16" a="1"/>
  <c r="AO65" i="16" s="1"/>
  <c r="AN103" i="16"/>
  <c r="AN49" i="11" a="1"/>
  <c r="AN49" i="11" s="1"/>
  <c r="AO49" i="11" s="1" a="1"/>
  <c r="AO49" i="11" s="1"/>
  <c r="AN125" i="16"/>
  <c r="AN130" i="16" s="1"/>
  <c r="AN22" i="11" a="1"/>
  <c r="AN22" i="11" s="1"/>
  <c r="AO22" i="11" s="1" a="1"/>
  <c r="AO22" i="11" s="1"/>
  <c r="AM90" i="11"/>
  <c r="AN43" i="11" a="1"/>
  <c r="AN43" i="11" s="1"/>
  <c r="AO43" i="11" s="1" a="1"/>
  <c r="AO43" i="11" s="1"/>
  <c r="X113" i="11"/>
  <c r="X130" i="11" s="1"/>
  <c r="AN109" i="11" a="1"/>
  <c r="AN109" i="11" s="1"/>
  <c r="AE99" i="11"/>
  <c r="AN39" i="11" a="1"/>
  <c r="AN39" i="11" s="1"/>
  <c r="AO39" i="11" s="1" a="1"/>
  <c r="AO39" i="11" s="1"/>
  <c r="AO90" i="11"/>
  <c r="AN97" i="11"/>
  <c r="AO15" i="11" a="1"/>
  <c r="AO15" i="11" s="1"/>
  <c r="AH97" i="11"/>
  <c r="AH96" i="11"/>
  <c r="Y96" i="11"/>
  <c r="Y97" i="11"/>
  <c r="AK96" i="11"/>
  <c r="AK97" i="11"/>
  <c r="AN48" i="11" a="1"/>
  <c r="AN48" i="11" s="1"/>
  <c r="AO48" i="11" s="1" a="1"/>
  <c r="AO48" i="11" s="1"/>
  <c r="AN41" i="11" a="1"/>
  <c r="AN41" i="11" s="1"/>
  <c r="AO41" i="11" s="1" a="1"/>
  <c r="AO41" i="11" s="1"/>
  <c r="AN34" i="11" a="1"/>
  <c r="AN34" i="11" s="1"/>
  <c r="AO34" i="11" s="1" a="1"/>
  <c r="AO34" i="11" s="1"/>
  <c r="P99" i="11"/>
  <c r="S96" i="11"/>
  <c r="S97" i="11"/>
  <c r="D96" i="11"/>
  <c r="D99" i="11" s="1"/>
  <c r="D132" i="11" s="1"/>
  <c r="C13" i="7"/>
  <c r="C12" i="7"/>
  <c r="C11" i="7"/>
  <c r="C10" i="7"/>
  <c r="C9" i="7"/>
  <c r="C8" i="7"/>
  <c r="C7" i="7"/>
  <c r="C6" i="7"/>
  <c r="C5" i="7"/>
  <c r="C4" i="7"/>
  <c r="C3" i="7"/>
  <c r="C2" i="7"/>
  <c r="N57" i="2"/>
  <c r="N71" i="2" s="1"/>
  <c r="M57" i="2"/>
  <c r="M71" i="2" s="1"/>
  <c r="O68" i="2"/>
  <c r="N68" i="2"/>
  <c r="N72" i="2" s="1"/>
  <c r="M68" i="2"/>
  <c r="M72" i="2" s="1"/>
  <c r="L68" i="2"/>
  <c r="K68" i="2"/>
  <c r="J68" i="2"/>
  <c r="I68" i="2"/>
  <c r="H68" i="2"/>
  <c r="G68" i="2"/>
  <c r="F68" i="2"/>
  <c r="E68" i="2"/>
  <c r="N89" i="2"/>
  <c r="M89" i="2"/>
  <c r="L89" i="2"/>
  <c r="Q47" i="2"/>
  <c r="Q45" i="2"/>
  <c r="Q42" i="2"/>
  <c r="E12" i="2"/>
  <c r="H8" i="2"/>
  <c r="P68" i="2"/>
  <c r="N49" i="2"/>
  <c r="N70" i="2" s="1"/>
  <c r="N73" i="2" s="1"/>
  <c r="M49" i="2"/>
  <c r="M70" i="2" s="1"/>
  <c r="M73" i="2" s="1"/>
  <c r="Q66" i="2"/>
  <c r="Q44" i="2"/>
  <c r="Q43" i="2"/>
  <c r="Q41" i="2"/>
  <c r="Q40" i="2"/>
  <c r="Q65" i="2"/>
  <c r="Q35" i="2"/>
  <c r="Q34" i="2"/>
  <c r="Q32" i="2"/>
  <c r="Q30" i="2"/>
  <c r="Q18" i="2"/>
  <c r="Q17" i="2"/>
  <c r="Q15" i="2"/>
  <c r="AN132" i="16" l="1"/>
  <c r="AN113" i="11"/>
  <c r="AN130" i="11" s="1"/>
  <c r="AO109" i="11" a="1"/>
  <c r="AO109" i="11" s="1"/>
  <c r="AO113" i="11" s="1"/>
  <c r="AH99" i="11"/>
  <c r="AK99" i="11"/>
  <c r="Y99" i="11"/>
  <c r="S99" i="11"/>
  <c r="AN32" i="11" a="1"/>
  <c r="AN32" i="11" s="1"/>
  <c r="M91" i="2"/>
  <c r="N91" i="2"/>
  <c r="Q16" i="2"/>
  <c r="O14" i="2"/>
  <c r="Q14" i="2"/>
  <c r="Q26" i="2"/>
  <c r="Q27" i="2"/>
  <c r="J10" i="2"/>
  <c r="K12" i="2"/>
  <c r="L57" i="2"/>
  <c r="L71" i="2" s="1"/>
  <c r="AO32" i="11" l="1" a="1"/>
  <c r="AO32" i="11" s="1"/>
  <c r="AO69" i="11" s="1"/>
  <c r="AN69" i="11"/>
  <c r="AN96" i="11" s="1"/>
  <c r="L49" i="2"/>
  <c r="L70" i="2" s="1"/>
  <c r="Q57" i="2"/>
  <c r="Q71" i="2" s="1"/>
  <c r="P57" i="2"/>
  <c r="O57" i="2"/>
  <c r="O71" i="2" s="1"/>
  <c r="K57" i="2"/>
  <c r="K71" i="2" s="1"/>
  <c r="J57" i="2"/>
  <c r="J71" i="2" s="1"/>
  <c r="I57" i="2"/>
  <c r="H57" i="2"/>
  <c r="H71" i="2" s="1"/>
  <c r="G57" i="2"/>
  <c r="G71" i="2" s="1"/>
  <c r="F57" i="2"/>
  <c r="E57" i="2"/>
  <c r="E71" i="2" s="1"/>
  <c r="P71" i="2"/>
  <c r="I71" i="2"/>
  <c r="F71" i="2"/>
  <c r="Q78" i="2" l="1"/>
  <c r="Q61" i="2" l="1"/>
  <c r="Q60" i="2"/>
  <c r="Q59" i="2"/>
  <c r="Q68" i="2" s="1"/>
  <c r="P89" i="2"/>
  <c r="O89" i="2"/>
  <c r="K89" i="2"/>
  <c r="J88" i="2"/>
  <c r="I88" i="2"/>
  <c r="H88" i="2"/>
  <c r="G88" i="2"/>
  <c r="F88" i="2"/>
  <c r="E88" i="2"/>
  <c r="J87" i="2"/>
  <c r="I87" i="2"/>
  <c r="H87" i="2"/>
  <c r="G87" i="2"/>
  <c r="F87" i="2"/>
  <c r="E87" i="2"/>
  <c r="J86" i="2"/>
  <c r="I86" i="2"/>
  <c r="H86" i="2"/>
  <c r="G86" i="2"/>
  <c r="F86" i="2"/>
  <c r="E86" i="2"/>
  <c r="H85" i="2"/>
  <c r="G85" i="2"/>
  <c r="I84" i="2"/>
  <c r="H84" i="2"/>
  <c r="G84" i="2"/>
  <c r="F84" i="2"/>
  <c r="E84" i="2"/>
  <c r="J83" i="2"/>
  <c r="I83" i="2"/>
  <c r="H83" i="2"/>
  <c r="G83" i="2"/>
  <c r="F83" i="2"/>
  <c r="E83" i="2"/>
  <c r="J80" i="2"/>
  <c r="I80" i="2"/>
  <c r="H80" i="2"/>
  <c r="G80" i="2"/>
  <c r="F80" i="2"/>
  <c r="E80" i="2"/>
  <c r="F79" i="2"/>
  <c r="E79" i="2"/>
  <c r="J77" i="2"/>
  <c r="I77" i="2"/>
  <c r="H77" i="2"/>
  <c r="G77" i="2"/>
  <c r="F77" i="2"/>
  <c r="E77" i="2"/>
  <c r="J76" i="2"/>
  <c r="I76" i="2"/>
  <c r="H76" i="2"/>
  <c r="G76" i="2"/>
  <c r="F76" i="2"/>
  <c r="E76" i="2"/>
  <c r="J37" i="2"/>
  <c r="H37" i="2"/>
  <c r="G37" i="2"/>
  <c r="F37" i="2"/>
  <c r="E37" i="2"/>
  <c r="Q37" i="2" s="1"/>
  <c r="J36" i="2"/>
  <c r="H36" i="2"/>
  <c r="G36" i="2"/>
  <c r="F36" i="2"/>
  <c r="E36" i="2"/>
  <c r="Q36" i="2" s="1"/>
  <c r="K33" i="2"/>
  <c r="J33" i="2"/>
  <c r="I33" i="2"/>
  <c r="H33" i="2"/>
  <c r="G33" i="2"/>
  <c r="F33" i="2"/>
  <c r="E33" i="2"/>
  <c r="Q33" i="2" s="1"/>
  <c r="K31" i="2"/>
  <c r="J31" i="2"/>
  <c r="I31" i="2"/>
  <c r="H31" i="2"/>
  <c r="G31" i="2"/>
  <c r="F31" i="2"/>
  <c r="E31" i="2"/>
  <c r="Q31" i="2" s="1"/>
  <c r="K29" i="2"/>
  <c r="J29" i="2"/>
  <c r="I29" i="2"/>
  <c r="H29" i="2"/>
  <c r="G29" i="2"/>
  <c r="F29" i="2"/>
  <c r="E29" i="2"/>
  <c r="Q29" i="2" s="1"/>
  <c r="H28" i="2"/>
  <c r="G28" i="2"/>
  <c r="Q28" i="2" s="1"/>
  <c r="K25" i="2"/>
  <c r="J25" i="2"/>
  <c r="H25" i="2"/>
  <c r="Q25" i="2" s="1"/>
  <c r="K24" i="2"/>
  <c r="J24" i="2"/>
  <c r="H24" i="2"/>
  <c r="E24" i="2"/>
  <c r="Q24" i="2" s="1"/>
  <c r="K23" i="2"/>
  <c r="J23" i="2"/>
  <c r="H23" i="2"/>
  <c r="G23" i="2"/>
  <c r="F23" i="2"/>
  <c r="E23" i="2"/>
  <c r="Q23" i="2" s="1"/>
  <c r="F22" i="2"/>
  <c r="Q22" i="2" s="1"/>
  <c r="E21" i="2"/>
  <c r="Q21" i="2" s="1"/>
  <c r="K20" i="2"/>
  <c r="J20" i="2"/>
  <c r="H20" i="2"/>
  <c r="G20" i="2"/>
  <c r="F20" i="2"/>
  <c r="E20" i="2"/>
  <c r="Q20" i="2" s="1"/>
  <c r="K19" i="2"/>
  <c r="J19" i="2"/>
  <c r="H19" i="2"/>
  <c r="G19" i="2"/>
  <c r="F19" i="2"/>
  <c r="E19" i="2"/>
  <c r="Q19" i="2" s="1"/>
  <c r="E13" i="2"/>
  <c r="Q13" i="2" s="1"/>
  <c r="J12" i="2"/>
  <c r="H12" i="2"/>
  <c r="G12" i="2"/>
  <c r="F12" i="2"/>
  <c r="Q12" i="2"/>
  <c r="J11" i="2"/>
  <c r="G11" i="2"/>
  <c r="E11" i="2"/>
  <c r="I10" i="2"/>
  <c r="Q10" i="2" s="1"/>
  <c r="O9" i="2"/>
  <c r="K9" i="2"/>
  <c r="J9" i="2"/>
  <c r="I9" i="2"/>
  <c r="H9" i="2"/>
  <c r="G9" i="2"/>
  <c r="F9" i="2"/>
  <c r="E9" i="2"/>
  <c r="Q9" i="2" s="1"/>
  <c r="J8" i="2"/>
  <c r="I8" i="2"/>
  <c r="Q8" i="2" s="1"/>
  <c r="K49" i="2" l="1"/>
  <c r="K70" i="2" s="1"/>
  <c r="F49" i="2"/>
  <c r="F70" i="2" s="1"/>
  <c r="G49" i="2"/>
  <c r="G70" i="2" s="1"/>
  <c r="H49" i="2"/>
  <c r="H70" i="2" s="1"/>
  <c r="I49" i="2"/>
  <c r="I70" i="2" s="1"/>
  <c r="J49" i="2"/>
  <c r="J70" i="2" s="1"/>
  <c r="O49" i="2"/>
  <c r="O70" i="2" s="1"/>
  <c r="P49" i="2"/>
  <c r="P70" i="2" s="1"/>
  <c r="E49" i="2"/>
  <c r="E70" i="2" s="1"/>
  <c r="Q79" i="2"/>
  <c r="Q86" i="2"/>
  <c r="Q81" i="2"/>
  <c r="Q88" i="2"/>
  <c r="Q80" i="2"/>
  <c r="Q83" i="2"/>
  <c r="Q84" i="2"/>
  <c r="Q48" i="2"/>
  <c r="Q85" i="2"/>
  <c r="Q87" i="2"/>
  <c r="J89" i="2"/>
  <c r="E89" i="2"/>
  <c r="Q46" i="2"/>
  <c r="Q76" i="2"/>
  <c r="Q77" i="2"/>
  <c r="F89" i="2"/>
  <c r="I89" i="2"/>
  <c r="G89" i="2"/>
  <c r="H89" i="2"/>
  <c r="Q49" i="2" l="1"/>
  <c r="Q70" i="2" s="1"/>
  <c r="Q89" i="2"/>
  <c r="Q72" i="2" l="1"/>
  <c r="Q73" i="2" s="1"/>
  <c r="Q91" i="2" s="1"/>
  <c r="J72" i="2"/>
  <c r="J73" i="2" s="1"/>
  <c r="J91" i="2" s="1"/>
  <c r="P72" i="2"/>
  <c r="P73" i="2" s="1"/>
  <c r="P91" i="2" s="1"/>
  <c r="H72" i="2"/>
  <c r="H73" i="2" s="1"/>
  <c r="H91" i="2" s="1"/>
  <c r="I72" i="2"/>
  <c r="I73" i="2" s="1"/>
  <c r="I91" i="2" s="1"/>
  <c r="K72" i="2"/>
  <c r="K73" i="2" s="1"/>
  <c r="K91" i="2" s="1"/>
  <c r="F72" i="2"/>
  <c r="F73" i="2" s="1"/>
  <c r="F91" i="2" s="1"/>
  <c r="G72" i="2"/>
  <c r="G73" i="2" s="1"/>
  <c r="G91" i="2" s="1"/>
  <c r="O72" i="2"/>
  <c r="O73" i="2" s="1"/>
  <c r="O91" i="2" s="1"/>
  <c r="L72" i="2"/>
  <c r="L73" i="2" s="1"/>
  <c r="L91" i="2" s="1"/>
  <c r="E72" i="2"/>
  <c r="E73" i="2"/>
  <c r="E91" i="2" s="1"/>
  <c r="AK132" i="11"/>
  <c r="P132" i="11"/>
  <c r="AH132" i="11"/>
  <c r="J132" i="11"/>
  <c r="AE132" i="11"/>
  <c r="Y132" i="11"/>
  <c r="S132" i="11"/>
  <c r="G132" i="11"/>
  <c r="M132" i="11"/>
  <c r="V132" i="11"/>
  <c r="AB97" i="11"/>
  <c r="AB99" i="11" s="1"/>
  <c r="AB132" i="11" l="1"/>
  <c r="AN99" i="11"/>
  <c r="AN132" i="11" s="1"/>
  <c r="U49" i="16"/>
  <c r="AO49" i="16" l="1" a="1"/>
  <c r="AO49" i="16" s="1"/>
  <c r="AO58" i="16" s="1"/>
  <c r="U58" i="16"/>
  <c r="AN49" i="16" a="1"/>
  <c r="AN49" i="16" s="1"/>
  <c r="AN58" i="16" l="1"/>
  <c r="AN65" i="16" s="1"/>
  <c r="AN100"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Vishal Dhiman</author>
  </authors>
  <commentList>
    <comment ref="D113" authorId="0" shapeId="0" xr:uid="{625732D8-075A-42D7-9284-359A190A84B6}">
      <text>
        <r>
          <rPr>
            <sz val="10"/>
            <color indexed="8"/>
            <rFont val="Arial"/>
            <family val="2"/>
          </rPr>
          <t>Total Marvel invoice divided by 90</t>
        </r>
      </text>
    </comment>
    <comment ref="E113" authorId="0" shapeId="0" xr:uid="{FD771818-9FE9-483E-BF1D-B1F76A0DD440}">
      <text>
        <r>
          <rPr>
            <sz val="10"/>
            <color indexed="8"/>
            <rFont val="Arial"/>
            <family val="2"/>
          </rPr>
          <t xml:space="preserve">$600 as expense of per person total 4 person
</t>
        </r>
      </text>
    </comment>
    <comment ref="G113" authorId="0" shapeId="0" xr:uid="{52ADE1F8-A4BB-4879-ACAD-7E590FD55A94}">
      <text>
        <r>
          <rPr>
            <sz val="10"/>
            <color indexed="8"/>
            <rFont val="Arial"/>
            <family val="2"/>
          </rPr>
          <t>Total Marvel invoice divided by 90</t>
        </r>
      </text>
    </comment>
    <comment ref="H113" authorId="0" shapeId="0" xr:uid="{F343825A-F1D7-4107-B12A-07161F3CF524}">
      <text>
        <r>
          <rPr>
            <sz val="10"/>
            <color indexed="8"/>
            <rFont val="Arial"/>
            <family val="2"/>
          </rPr>
          <t xml:space="preserve">$600 as expense of per person total 3 person
</t>
        </r>
      </text>
    </comment>
    <comment ref="J113" authorId="0" shapeId="0" xr:uid="{7623656B-07DC-401D-8BC3-975D576F77D1}">
      <text>
        <r>
          <rPr>
            <sz val="10"/>
            <color indexed="8"/>
            <rFont val="Arial"/>
            <family val="2"/>
          </rPr>
          <t>Total Marvel invoice divided by 90</t>
        </r>
      </text>
    </comment>
    <comment ref="K113" authorId="0" shapeId="0" xr:uid="{30B13148-2546-4428-BA77-2124F2D94799}">
      <text>
        <r>
          <rPr>
            <sz val="10"/>
            <color indexed="8"/>
            <rFont val="Arial"/>
            <family val="2"/>
          </rPr>
          <t>Total Marvel invoice divided by 90</t>
        </r>
      </text>
    </comment>
    <comment ref="M113" authorId="0" shapeId="0" xr:uid="{21BBE521-D4E1-4C9C-87CB-50DCB82C18F9}">
      <text>
        <r>
          <rPr>
            <sz val="10"/>
            <color indexed="8"/>
            <rFont val="Arial"/>
            <family val="2"/>
          </rPr>
          <t>Total Marvel invoice divided by 90</t>
        </r>
      </text>
    </comment>
    <comment ref="N113" authorId="0" shapeId="0" xr:uid="{45F51202-E9C3-4FAA-B9C4-20C87BB01E89}">
      <text>
        <r>
          <rPr>
            <sz val="10"/>
            <color indexed="8"/>
            <rFont val="Arial"/>
            <family val="2"/>
          </rPr>
          <t>Total Marvel invoice divided by 90</t>
        </r>
      </text>
    </comment>
    <comment ref="P113" authorId="0" shapeId="0" xr:uid="{579A1C36-5ACD-44B6-8614-C2FCB9E6FF88}">
      <text>
        <r>
          <rPr>
            <sz val="10"/>
            <color indexed="8"/>
            <rFont val="Arial"/>
            <family val="2"/>
          </rPr>
          <t>Total Marvel invoice divided by 90</t>
        </r>
      </text>
    </comment>
    <comment ref="Q113" authorId="0" shapeId="0" xr:uid="{3B510252-449B-4199-91CB-2BBD2C45DA27}">
      <text>
        <r>
          <rPr>
            <sz val="10"/>
            <color indexed="8"/>
            <rFont val="Arial"/>
            <family val="2"/>
          </rPr>
          <t>Total Marvel invoice divided by 90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<sst xmlns="http://schemas.openxmlformats.org/spreadsheetml/2006/main" count="2731" uniqueCount="732">
  <si>
    <t>Forecast</t>
  </si>
  <si>
    <t>Name</t>
  </si>
  <si>
    <t>POC</t>
  </si>
  <si>
    <t>Service</t>
  </si>
  <si>
    <t>Jan</t>
  </si>
  <si>
    <t>Feb</t>
  </si>
  <si>
    <t>Mar</t>
  </si>
  <si>
    <t>Apr</t>
  </si>
  <si>
    <t>May</t>
  </si>
  <si>
    <t>Jun</t>
  </si>
  <si>
    <t>Jul</t>
  </si>
  <si>
    <t>Aug</t>
  </si>
  <si>
    <t>Sep</t>
  </si>
  <si>
    <t>Oct</t>
  </si>
  <si>
    <t>Nov</t>
  </si>
  <si>
    <t>Dec</t>
  </si>
  <si>
    <t>Total</t>
  </si>
  <si>
    <t>Comments</t>
  </si>
  <si>
    <t>Renewal Confidence</t>
  </si>
  <si>
    <t>Group</t>
  </si>
  <si>
    <t>Sub-Group</t>
  </si>
  <si>
    <t>Staffing</t>
  </si>
  <si>
    <t>Secured</t>
  </si>
  <si>
    <t>Subtotal- Secured</t>
  </si>
  <si>
    <t>Projected</t>
  </si>
  <si>
    <t>Subtotal- Projected</t>
  </si>
  <si>
    <t>Grand Total</t>
  </si>
  <si>
    <t>Total Revenue</t>
  </si>
  <si>
    <t>HPE Ami Noss</t>
  </si>
  <si>
    <t>Manmeet</t>
  </si>
  <si>
    <t>SOW for renewal has been submitted</t>
  </si>
  <si>
    <t>100%</t>
  </si>
  <si>
    <t>HPE</t>
  </si>
  <si>
    <t>ds_StaffingT01</t>
  </si>
  <si>
    <t>HPE Rebecca Wissinger</t>
  </si>
  <si>
    <t>SOW valid until Oct 31, 2026</t>
  </si>
  <si>
    <t>HPE Budget Mgmt</t>
  </si>
  <si>
    <t>SOW valid until Apr 30, 2026</t>
  </si>
  <si>
    <t>HPE Tech Compliance</t>
  </si>
  <si>
    <t>SOW valid until Jan 31, 2026</t>
  </si>
  <si>
    <t>HPE Data Foundation</t>
  </si>
  <si>
    <t>HPE Marketing Automation</t>
  </si>
  <si>
    <t>Marvell India Staffing</t>
  </si>
  <si>
    <t>Sunil/Neeraj</t>
  </si>
  <si>
    <t>Contract renewed valid till Jan 31, 2026</t>
  </si>
  <si>
    <t>Marvell India</t>
  </si>
  <si>
    <t>Azu Solutions</t>
  </si>
  <si>
    <t>Pankaj/Neeraj</t>
  </si>
  <si>
    <t>SOW valid until Mar 31, 2026</t>
  </si>
  <si>
    <t>AZU Solutions</t>
  </si>
  <si>
    <t xml:space="preserve">Databricks SEO Content Strategist </t>
  </si>
  <si>
    <t>SOW valid until Feb 28, 2026</t>
  </si>
  <si>
    <t>Databricks</t>
  </si>
  <si>
    <t>JSG</t>
  </si>
  <si>
    <t>Wendy</t>
  </si>
  <si>
    <t>ds_StaffingT02</t>
  </si>
  <si>
    <t>Mastek</t>
  </si>
  <si>
    <t>Matchpoint Solutions</t>
  </si>
  <si>
    <t>MatchPoint Solutions</t>
  </si>
  <si>
    <t>Maxonic</t>
  </si>
  <si>
    <t>Technology Partners</t>
  </si>
  <si>
    <t>Vdart</t>
  </si>
  <si>
    <t>Sub-Total : Secured</t>
  </si>
  <si>
    <t>Pankaj/Wendy</t>
  </si>
  <si>
    <t>ds_StaffingT03</t>
  </si>
  <si>
    <t>The Mice Group</t>
  </si>
  <si>
    <t>Shashank/Wendy</t>
  </si>
  <si>
    <t>VanderHouwen</t>
  </si>
  <si>
    <t>Red Oak</t>
  </si>
  <si>
    <t>Manpower Group</t>
  </si>
  <si>
    <t>Trans American (Mastek)</t>
  </si>
  <si>
    <t>New Logos</t>
  </si>
  <si>
    <t>Sub-Total : Projection (Wendy)</t>
  </si>
  <si>
    <t>Total Staffing (Secured + Projection)</t>
  </si>
  <si>
    <t>Actual</t>
  </si>
  <si>
    <t>Salary_$600</t>
  </si>
  <si>
    <t>Margin</t>
  </si>
  <si>
    <t>Total Margin</t>
  </si>
  <si>
    <t>2025_Total</t>
  </si>
  <si>
    <t>2025_Q4</t>
  </si>
  <si>
    <t>Solutions and Staff Augmentation (Projects) - Track 1</t>
  </si>
  <si>
    <t>AI Forward</t>
  </si>
  <si>
    <t>Vijay</t>
  </si>
  <si>
    <t>Non Billable</t>
  </si>
  <si>
    <t>DS10_Secured</t>
  </si>
  <si>
    <t>Bench</t>
  </si>
  <si>
    <t>Bench Deployed</t>
  </si>
  <si>
    <t>MetaSys Payroll Portal-Truist</t>
  </si>
  <si>
    <t>MetaSys Staffing Reports Wendy</t>
  </si>
  <si>
    <t>MetaSys, Marlow Content and Design</t>
  </si>
  <si>
    <t>Ovis Programming + MetaSys Websites</t>
  </si>
  <si>
    <t>Ovis- Creative Support</t>
  </si>
  <si>
    <t>Sales &amp; Marketing (Nvish &amp; MetaSys)</t>
  </si>
  <si>
    <t>Automation Anywhere Web Dev</t>
  </si>
  <si>
    <t>Neeraj</t>
  </si>
  <si>
    <t>Staff Aug</t>
  </si>
  <si>
    <t>SOW valid until Jan 2026. 
On SOW renewal, the client has reduced the monthly billing.
Feb - July 2026 - $30K per month</t>
  </si>
  <si>
    <t>Automation Anywhere</t>
  </si>
  <si>
    <t>AIS Solutions</t>
  </si>
  <si>
    <t>0%</t>
  </si>
  <si>
    <t xml:space="preserve"> Aldevron - Address Cookie Compliance Issue</t>
  </si>
  <si>
    <t>Project</t>
  </si>
  <si>
    <t>Aldevron</t>
  </si>
  <si>
    <t>Aldevron - Website Support &amp; Maintenance</t>
  </si>
  <si>
    <t>Aldevron - SEO Strategy &amp; Optimization</t>
  </si>
  <si>
    <t>CheckPoint Desktop publishing of translated assets</t>
  </si>
  <si>
    <t xml:space="preserve">SOW valid  Feb 2026. For the last 2 years client is continuously renewing for 5 months. </t>
  </si>
  <si>
    <t>CheckPoint</t>
  </si>
  <si>
    <t>Church's Chicken &amp; IT Support</t>
  </si>
  <si>
    <t>SOW valid until Dec 31, 2027</t>
  </si>
  <si>
    <t>Churchs-Chicken</t>
  </si>
  <si>
    <t>Databricks Ongoing Support</t>
  </si>
  <si>
    <t>Current SOW valid until Sep 30, 2026. 
Amendment  approved for 2 additional resoruces with addiitonal billing  $8,825/month (Starting Jan 2026)</t>
  </si>
  <si>
    <t>Databricks Planning Project</t>
  </si>
  <si>
    <t xml:space="preserve">SOW valid until April 30, 2026. </t>
  </si>
  <si>
    <t>Databricks Program Manager and Marketo</t>
  </si>
  <si>
    <t>Databricks SEO Project Management</t>
  </si>
  <si>
    <t>SOW valid until April 30, 2026.</t>
  </si>
  <si>
    <t>Databricks Martech Platform Operations Administrator</t>
  </si>
  <si>
    <t>Doppel - Website Support &amp; Maintenance</t>
  </si>
  <si>
    <t>25%</t>
  </si>
  <si>
    <t>Doppel</t>
  </si>
  <si>
    <t>EGIA Development Support</t>
  </si>
  <si>
    <t>Open Ended SOW</t>
  </si>
  <si>
    <t>EGIA</t>
  </si>
  <si>
    <t>Hitachi Asia</t>
  </si>
  <si>
    <t>Revenue until March is actual
Revenue April - Dec are projections based on proposals under discussion</t>
  </si>
  <si>
    <t>75%</t>
  </si>
  <si>
    <t>HEA Website Updates</t>
  </si>
  <si>
    <t>HAL Creative Support</t>
  </si>
  <si>
    <t xml:space="preserve">SOW valid until Mar 31, 2026. </t>
  </si>
  <si>
    <t>HAL</t>
  </si>
  <si>
    <t>HAL Digital Web Marketing</t>
  </si>
  <si>
    <t>SOW valid until Mar 31, 2026.</t>
  </si>
  <si>
    <t>HAL Marketo Support</t>
  </si>
  <si>
    <t>HAL Critical Minerals AI Analysis solution</t>
  </si>
  <si>
    <t>HAL Marketing Operations Specialist</t>
  </si>
  <si>
    <t>Started this new in May 2026</t>
  </si>
  <si>
    <t xml:space="preserve">Business Travel of Abhishek Kalsy to Las Vegas for Hitachi Americas Brand and Growth </t>
  </si>
  <si>
    <t>Hitachi ByState Enhancement</t>
  </si>
  <si>
    <t>Hitachi Stem - Development Support</t>
  </si>
  <si>
    <t>Hitachi Stem</t>
  </si>
  <si>
    <t>HPE SEO PM HPE Store Hament Dudeja</t>
  </si>
  <si>
    <t>HPE Marketing Strategy &amp; Operations for the APJ Region</t>
  </si>
  <si>
    <t>HPE Data Foundations Shashidhar Iddamsetty</t>
  </si>
  <si>
    <t>SOW valid until Jan 31, 2026.</t>
  </si>
  <si>
    <t>HPE Marketing Automation- Christian Voigt</t>
  </si>
  <si>
    <t>HPE SEO PM HPE Store Srihari Gopinath</t>
  </si>
  <si>
    <t>HPE SEO Strategy Towa Ghosh (Projects)</t>
  </si>
  <si>
    <t>SOW was discontinued from Feb 1, 2026</t>
  </si>
  <si>
    <t>HPE Data &amp; Analytics Zainab Jamal</t>
  </si>
  <si>
    <t>HPE- Documents Rebranding Landmark</t>
  </si>
  <si>
    <t>HPE  Documents Rebranding Juniper</t>
  </si>
  <si>
    <t>SOW-  Finder Fee -Full Stack Developer  Resource for HPE Hire - Dilpreet Kaur</t>
  </si>
  <si>
    <t>HPE Proof Reader</t>
  </si>
  <si>
    <t>Icertis Web dev and Creative</t>
  </si>
  <si>
    <t>SOW valid until Mar 3, 2026</t>
  </si>
  <si>
    <t>Icertis</t>
  </si>
  <si>
    <t>IDBS Help-Center</t>
  </si>
  <si>
    <t>Project need to be delivered by end Sep 2026</t>
  </si>
  <si>
    <t>IDBS</t>
  </si>
  <si>
    <t>IDBS: Support  to make consistency with the top banners across IDBS website</t>
  </si>
  <si>
    <t>LiveRamp Marketo &amp; Analytics</t>
  </si>
  <si>
    <t>SOW valid until Dec 31, 2026
There is a reduction of 140 billed hours per month compared to 2025.
Additionally, the hourly billing rate for the remaining team members has increased by 10% in 2026.</t>
  </si>
  <si>
    <t>LiveRamp</t>
  </si>
  <si>
    <t>Molecular Devices Web development, SEO, Ceros Designer</t>
  </si>
  <si>
    <t>SOW valid until Dec 31, 2026. 
In the 2026 SOW the bill rate has been increased by 10%</t>
  </si>
  <si>
    <t>Molecular Devices</t>
  </si>
  <si>
    <t>RingCentral Web Development</t>
  </si>
  <si>
    <t>Sow for the period Jan - Mar 2026 has been  submitted for approval
Compared to 2025, the client has reduced the team size by four resources.</t>
  </si>
  <si>
    <t>RingCentral</t>
  </si>
  <si>
    <t>SEMI - PM, Drupal Developer, Designer &amp; Shopify Full Stack Developer</t>
  </si>
  <si>
    <t>SOW valid for duration Aug16, 2025 to Aug 15, 2026</t>
  </si>
  <si>
    <t>SEMI</t>
  </si>
  <si>
    <t>UiPath Web Development</t>
  </si>
  <si>
    <t>SOW valid until 31 Jan, 2026
For SOW Renewal period Feb-Apr 2026 there is a reduction in team size by 1 resource</t>
  </si>
  <si>
    <t>UiPath</t>
  </si>
  <si>
    <t>YetiMyFriend App</t>
  </si>
  <si>
    <t xml:space="preserve">Open-ended SOW. </t>
  </si>
  <si>
    <t>YetiMyFriend</t>
  </si>
  <si>
    <t>Sub-total : Track 1</t>
  </si>
  <si>
    <t>Solutions and Staff Augmentation (Projects) - Track 2</t>
  </si>
  <si>
    <t>DS20_Secured</t>
  </si>
  <si>
    <t>Sub-total : Track 2</t>
  </si>
  <si>
    <t>TOTAL Secured</t>
  </si>
  <si>
    <t/>
  </si>
  <si>
    <t>Track 1</t>
  </si>
  <si>
    <t>Floma - Figma Design Production Services</t>
  </si>
  <si>
    <t>Proposal submitted</t>
  </si>
  <si>
    <t>50%</t>
  </si>
  <si>
    <t>DS30_Projection</t>
  </si>
  <si>
    <t xml:space="preserve">HIL - Resolve AI </t>
  </si>
  <si>
    <t>HAL: Event ROI Framework and Executive Dashboards</t>
  </si>
  <si>
    <t>Proposal under discussion</t>
  </si>
  <si>
    <t>Hitachi Asia (Rail Europe)</t>
  </si>
  <si>
    <t>AI solutions for Databricks</t>
  </si>
  <si>
    <t>Aldevron.com Website Overhaul- Technical RFP</t>
  </si>
  <si>
    <t>Track 2</t>
  </si>
  <si>
    <t>ADNOC - Mobile Application, CRM and Web Development</t>
  </si>
  <si>
    <t>Ankur/Neeraj</t>
  </si>
  <si>
    <t>Top-of-funnel activities - Working with Ankur Rana</t>
  </si>
  <si>
    <t>ADNOC</t>
  </si>
  <si>
    <t>DS50_Projection</t>
  </si>
  <si>
    <t>Alliance Technical Group</t>
  </si>
  <si>
    <t>Raghu/Neeraj</t>
  </si>
  <si>
    <t>Raghu is working with Romeen to move this</t>
  </si>
  <si>
    <t>5%</t>
  </si>
  <si>
    <t>Anurag</t>
  </si>
  <si>
    <t>Anurag/Neeraj</t>
  </si>
  <si>
    <t>Fannie Mae RFP</t>
  </si>
  <si>
    <t>Sukumar/Neeraj</t>
  </si>
  <si>
    <t>Fannie Mae RFP being developed in collaboration with OSG. On hold for now</t>
  </si>
  <si>
    <t>Fannie Mae</t>
  </si>
  <si>
    <t>GIZ - Nigeria Energy Support Programme</t>
  </si>
  <si>
    <t>RFP response submitted - Working with Ankur Rana</t>
  </si>
  <si>
    <t>10%</t>
  </si>
  <si>
    <t>GIZ - I</t>
  </si>
  <si>
    <t>GIZ - II</t>
  </si>
  <si>
    <t>Web Marketing IHG</t>
  </si>
  <si>
    <t>Ankur/Raj/Neeraj</t>
  </si>
  <si>
    <t>Request sent to Raj Verma to follow up with Vivien. In addition to this met with Ketan through Ankur Rana</t>
  </si>
  <si>
    <t>IHG</t>
  </si>
  <si>
    <t>Web Marketing support for Inatech</t>
  </si>
  <si>
    <t>Ram/Neeraj</t>
  </si>
  <si>
    <t>Top-of-funnel activities. Ram working with Raghu to discuss the options</t>
  </si>
  <si>
    <t>Inatech</t>
  </si>
  <si>
    <t>Social Media Management Platform Provider - Miller Knoll</t>
  </si>
  <si>
    <t>POC approach dropped. Raghu and Raj met the Millet Knoll at Miami and will make it moving</t>
  </si>
  <si>
    <t>Miller Knoll</t>
  </si>
  <si>
    <t>OSG - Castrol</t>
  </si>
  <si>
    <t>OSG - Dewsy</t>
  </si>
  <si>
    <t>OSG - DHA</t>
  </si>
  <si>
    <t>OSG - DHA TB</t>
  </si>
  <si>
    <t>OSG - Misc</t>
  </si>
  <si>
    <t>Church and Dwight, BP/Castrol, Lloyds Banking Group, Medline, Tandem Diabetes, Boston Scientific, BD (Becton Dickinson) Breast Surgery, Johnson and Johnson Medical Devices, Kenvue, Abbott Diagnostics</t>
  </si>
  <si>
    <t>Reasonant Clinical</t>
  </si>
  <si>
    <t>Ogilvy</t>
  </si>
  <si>
    <t xml:space="preserve">Alcon/Web Marketing </t>
  </si>
  <si>
    <t>Alcone</t>
  </si>
  <si>
    <t>TOTAL Projection</t>
  </si>
  <si>
    <t>TOTAL Prospecting</t>
  </si>
  <si>
    <t>Projection</t>
  </si>
  <si>
    <t>Prospecting</t>
  </si>
  <si>
    <t>Solutions and Staff Augmentation Total</t>
  </si>
  <si>
    <t>DS70_Secured</t>
  </si>
  <si>
    <t>SOW extended for additional 6/12 months</t>
  </si>
  <si>
    <t>DS80_Secured</t>
  </si>
  <si>
    <t>DS85_Secured</t>
  </si>
  <si>
    <t xml:space="preserve"> -   </t>
  </si>
  <si>
    <t>SOW valid until Aug 31, 2026</t>
  </si>
  <si>
    <t>DS90_Secured</t>
  </si>
  <si>
    <t>VDart</t>
  </si>
  <si>
    <t>Sub-Total : Projection</t>
  </si>
  <si>
    <t>Solutions, Staff Augmentation and Staffing Total</t>
  </si>
  <si>
    <t>Client List</t>
  </si>
  <si>
    <t>Confidence</t>
  </si>
  <si>
    <t>Renewal SOW approved for
1. 6-month duration until July 2026
2. Team size reduced from  current 10 to 9 resources
3. Monthly billing $30,000
SOW for period Aug - Oct 2026 submitted for approval</t>
  </si>
  <si>
    <t>Opened the account with 1 full time FED for 3 months.
Client is not going to renew this account post May 15</t>
  </si>
  <si>
    <t>Initiated engagement with the client through a small project valued at $1,200.
Successfully secured an ongoing maintenance SOW worth $8,150 per month, with a start date of February 2, 2026.</t>
  </si>
  <si>
    <t>The client has discontinued our services from April onwards.</t>
  </si>
  <si>
    <t>SOW valid until Dec 31, 2027.</t>
  </si>
  <si>
    <t xml:space="preserve">We have 6 active SOWs with Databricks.
1. The Website maintenance SOW with monthly billing of ~$66,300 is approved until Sep 30, 2026
2. The rest of the SOWs are approved with a total monthly billing of ~$115,000 and approved until April 30, 2026. The SOWs are
	a. SEO Content Strategist
	b. SEO Program Management (This position is now being moved to the US. We are working with the client on identifying an appropriate resource. Interviews in progress. 
	c. Planning Project
	d. Martech Platform Operations
	e. Program Manager and Marketo </t>
  </si>
  <si>
    <t xml:space="preserve">Secured a maintenance SOW for $4,200 a month with a start date of Feb 2, 2026.
We have been following up with the client on tasks since Feb 1, but we haven't received a response. </t>
  </si>
  <si>
    <t>Open-ended SOW for the last many of years. Growth in 2026 is expected as EGIA wins more RFPs</t>
  </si>
  <si>
    <t xml:space="preserve">1. We started 2026 with 3 Staff Augmentation SOWs. Two of these SOW (Creative and Marketo) were discontinued from April 2026 and were left with "Digital Web Marketing" SOW, which is approved until Sep 2026 ($36,900 for 6 months) and has high confidence in getting it further renewed.
2. Signed a new SOW for Digital Marketing Operation Specialist $5000/month. Start date May 18
3. Delivered a fixed cost project, "Critical Minerals AI Analysis solution," for $22,000. </t>
  </si>
  <si>
    <t>The client visited our India office on May 6- 7 to go over the 2026 projects. 
   Client agreed on 4 proposals and the same have been submitted for approval with a total billing value of $93K.
   Another AI project proposal has been submitted for approval
           Phase 1 - Pilot: INR 9,95,500
           Phase 2 - full rollout: INR 7,53,300 + monthly subscription of $2,500</t>
  </si>
  <si>
    <t>We currently have a total of 12 active SOWs, each with different approval and duration cycles:
Three SOWs approved for Nov 2025 – Oct 2026, with an annual billing value of approximately $245,600. These follow an annual approval cycle.
Four SOWs approved for May 2026 – July 2026, with a quarterly billing value of approximately $269,000. These follow a 3-month approval cycle.
Two SOWs approved for May 2026 – Oct 2026, with a billing value of approximately $217,600 and a 6-month approval cycle.
Two SOWs approved for Nov 2025 – Jul 2026, executed as project-based engagements. Based on the current monthly delivery, we are billing approximately $13K per month. This billing is expected to increase by $5,500 starting May 2026.
One additional SOW approved for Feb 2026 – Oct 2026, with a monthly billing value of $4,666.
All of these SOWs are highly likely to be renewed based on their respective approval cycles and current engagement status.</t>
  </si>
  <si>
    <t>SOW has been submitted for renewal from Jun 4 to Sep 3, 2026. Got verbal approval, waiting on a signed copy.</t>
  </si>
  <si>
    <t>The current SOW is approved until Jun 2026
Compared to 2025, the client has reduced the team size by four resources.
SOW for renewal July-Dec 2026 submitted for approval.</t>
  </si>
  <si>
    <t>The client initially provided 2 months' notice for SOW termination in mid-March 2026.
Efforts were underway to demonstrate our expertise and secure a full or partial renewal.
Starting this month, the client has resumed assigning work, and the same team will continue supporting SEMI until further direction is provided by the client.</t>
  </si>
  <si>
    <t>SOW valid until July 31, 2026</t>
  </si>
  <si>
    <t>Proposal submitted in Dec 2025. Client has come back with feedback. Updated proposal will be shared with client in the week of Jan 18.</t>
  </si>
  <si>
    <t xml:space="preserve">Client is visit India Office on May 6,7 to discuss projects </t>
  </si>
  <si>
    <t>Signed a Help-Center project for $53,900 with go-live Sep 25, 2026
Working to win additional SOW for Website enhacements</t>
  </si>
  <si>
    <t>NorthWest Storage</t>
  </si>
  <si>
    <t>Discussions pushed till Jan 2026</t>
  </si>
  <si>
    <t>We should also focus on winning new clients to create more business opportunities</t>
  </si>
  <si>
    <t>NetApp</t>
  </si>
  <si>
    <t>Moveworks</t>
  </si>
  <si>
    <t>SOW renewed for Q1, Q2, and selective for a 12-month period.</t>
  </si>
  <si>
    <t>The respective SOWs are valid for 6-month and 9-month durations</t>
  </si>
  <si>
    <t>NVISH Solutions Inc.</t>
  </si>
  <si>
    <t>Sales by Customer Summary</t>
  </si>
  <si>
    <t>Green: Legacy account
Green background with approved SOW
Blue not yet approved but confidence high</t>
  </si>
  <si>
    <t>Blue: Legacy Account with Growth,</t>
  </si>
  <si>
    <t>Yellow: New Logo with jobs, Orange: Pipeline</t>
  </si>
  <si>
    <t>LOB</t>
  </si>
  <si>
    <t>Jan_Act</t>
  </si>
  <si>
    <t>Jan_Sal</t>
  </si>
  <si>
    <t>Jan_Mar</t>
  </si>
  <si>
    <t>Feb_Act</t>
  </si>
  <si>
    <t>Feb_Sal</t>
  </si>
  <si>
    <t>Feb_Mar</t>
  </si>
  <si>
    <t>Mar_Act</t>
  </si>
  <si>
    <t>Mar_Sal</t>
  </si>
  <si>
    <t>Mar_Mar</t>
  </si>
  <si>
    <t>Apr_Act</t>
  </si>
  <si>
    <t>Apr_Sal</t>
  </si>
  <si>
    <t>Apr_Mar</t>
  </si>
  <si>
    <t>May_Act</t>
  </si>
  <si>
    <t>May_Sal</t>
  </si>
  <si>
    <t>May_Mar</t>
  </si>
  <si>
    <t>Jun_Act</t>
  </si>
  <si>
    <t>Jun_Sal</t>
  </si>
  <si>
    <t>Jun_Mar</t>
  </si>
  <si>
    <t>Jul_Act</t>
  </si>
  <si>
    <t>Jul_Sal</t>
  </si>
  <si>
    <t>Jul_Mar</t>
  </si>
  <si>
    <t>Aug_Act</t>
  </si>
  <si>
    <t>Aug_Sal</t>
  </si>
  <si>
    <t>Aug_Mar</t>
  </si>
  <si>
    <t>Sep_Act</t>
  </si>
  <si>
    <t>Sep_Sal</t>
  </si>
  <si>
    <t>Sep_Mar</t>
  </si>
  <si>
    <t>Oct_Act</t>
  </si>
  <si>
    <t>Oct_Sal</t>
  </si>
  <si>
    <t>Oct_Mar</t>
  </si>
  <si>
    <t>Nov_Act</t>
  </si>
  <si>
    <t>Nov_Sal</t>
  </si>
  <si>
    <t>Nov_Mar</t>
  </si>
  <si>
    <t>Dec_Act</t>
  </si>
  <si>
    <t>Dec_Sal</t>
  </si>
  <si>
    <t>Dec_Mar</t>
  </si>
  <si>
    <t>Total_Rev</t>
  </si>
  <si>
    <t>Total_NM</t>
  </si>
  <si>
    <t>Project Id</t>
  </si>
  <si>
    <t>Notes</t>
  </si>
  <si>
    <t>Actuals</t>
  </si>
  <si>
    <t>Total (Revenue)</t>
  </si>
  <si>
    <t>MetaSys Reporting Project Wendy</t>
  </si>
  <si>
    <t>AuditBoard</t>
  </si>
  <si>
    <t>Tasks were completed and client has asked to terminate contract.</t>
  </si>
  <si>
    <t>SOW valid until Jan 2026.</t>
  </si>
  <si>
    <t>Automation Anywhere University Creative</t>
  </si>
  <si>
    <t xml:space="preserve">SOW  was valid until Jan 31, 2025. </t>
  </si>
  <si>
    <t>SOW valid  Feb 2026</t>
  </si>
  <si>
    <t>Chooch</t>
  </si>
  <si>
    <t>SOW concluded in Aug 2025.</t>
  </si>
  <si>
    <t>In the renewed SOW, the client reduced Web Producers by 3 and added a Sr. QA. This will result in a monthly billing decrease of $6,675.</t>
  </si>
  <si>
    <t>SOW valid until April 30, 2026</t>
  </si>
  <si>
    <t>SOW valid until April 30, 2026. From August 2025, the client removed the Analytics resource, impacting monthly billing by $4,500. Additionally, in Aug and Sep, one of our US employees resigned, and a new resource was onboarded starting Sep 22, further impacting billing for those months.
Impact Aug: $13,571
Impact Sep: $15841
Impact Oct: $1,522</t>
  </si>
  <si>
    <t>HAL Social Media community</t>
  </si>
  <si>
    <t>Social Media delivery is now managed by Hitachi Japan. Our SOW has not been renewed.</t>
  </si>
  <si>
    <t>HAL AI Principle Purpose-Built Video (Feb 10, 2025 – Mar 10, 2025)</t>
  </si>
  <si>
    <t>One-time SOW. Delivered and billed.</t>
  </si>
  <si>
    <t>Hitachi Astemo Enhancements 2025</t>
  </si>
  <si>
    <t>Hitachi Astemo</t>
  </si>
  <si>
    <t>Hitachi Asia Ltd</t>
  </si>
  <si>
    <t>All projected Invoiced until Oct 31 added to Monthly Actual</t>
  </si>
  <si>
    <t>Hitachi Elevator Asia Pte Ltd.</t>
  </si>
  <si>
    <t>Hitachi Elevator</t>
  </si>
  <si>
    <t>Hitachi America Ltd - Migration RFP</t>
  </si>
  <si>
    <t>One-time SOW. Delivery to complete end Nov 2025</t>
  </si>
  <si>
    <t>Hitachi India Ltd - Migration RFP</t>
  </si>
  <si>
    <t>Hitachi Asia and Oceania - Migration RFP</t>
  </si>
  <si>
    <t>Hitachi Bystate Enhancement</t>
  </si>
  <si>
    <t>Hitachi Bystate</t>
  </si>
  <si>
    <t>HPE-SOW-  Data  CDP- Akhila Aiyer</t>
  </si>
  <si>
    <t>SOW has been merged with “HPE-SOW – Data Foundations – Shashidhar Iddamsetty.”</t>
  </si>
  <si>
    <t>Ajay Mehra</t>
  </si>
  <si>
    <t>Saju Verghese</t>
  </si>
  <si>
    <t>Dilpreet, Akanksha, Anmol</t>
  </si>
  <si>
    <t>Pradeep, Samuel</t>
  </si>
  <si>
    <t>Project + Ajay</t>
  </si>
  <si>
    <t>HPE SEO Strategy Towa Ghosh (HPE Store)</t>
  </si>
  <si>
    <t>HPE Social Media Management Leslie</t>
  </si>
  <si>
    <t>Abhay, Varun</t>
  </si>
  <si>
    <t>Abhishek Das</t>
  </si>
  <si>
    <t>Yogesh</t>
  </si>
  <si>
    <t>SOW-  Finder Fee - Social Media Resource for HPE Hire - Jennifer Coles</t>
  </si>
  <si>
    <t>Finder Fee SOW for Abhay Mokhal. PO Awaited</t>
  </si>
  <si>
    <t>IDBS – Email Templates</t>
  </si>
  <si>
    <t>IDBS: making gated PDF content accessible for AI/LLM tools</t>
  </si>
  <si>
    <t>SOW approved. Project will be delivered Dec 15, 2025</t>
  </si>
  <si>
    <t>IDBS  Website Audit, Recommendations and Templates</t>
  </si>
  <si>
    <t>SOW approved. Need to deliver Dec 31, 2025</t>
  </si>
  <si>
    <t>SOW valid until Dec 31, 2025</t>
  </si>
  <si>
    <t>Molecular Devices (Ceros Designer)</t>
  </si>
  <si>
    <t>New 4-month SOW signed with partial resource.
Client has started with a part time resource to access ROI.  In December we will come to know if client wants to extend this SOW</t>
  </si>
  <si>
    <t>SOW for the period Oct 1, 2025 – Dec 31, 2025 has been approved.</t>
  </si>
  <si>
    <t>SEMI - PM - Developer - Designer</t>
  </si>
  <si>
    <t>Merged into the master SEMI SOW</t>
  </si>
  <si>
    <t>SEMI - Shopify Full Stack Developer</t>
  </si>
  <si>
    <t>SOW valid until 30 Apr, 2026</t>
  </si>
  <si>
    <t>UiPath Forum</t>
  </si>
  <si>
    <t>Merged into the master UiPath SOW effective Feb 1, 2025.</t>
  </si>
  <si>
    <t xml:space="preserve">Open-ended SOW. On client request a $300 discount in monthly billing has been agreed. Client is fine with the newly monthly rate for the next 6 months. </t>
  </si>
  <si>
    <t>Aldevron - Digital Web Marketing Support</t>
  </si>
  <si>
    <t>Client has shared 2 tasks. Need to estimate and share SOW</t>
  </si>
  <si>
    <t>Molecular Devices - Global SEO and GEO Optimization Support</t>
  </si>
  <si>
    <t>Not getting approved in 2025</t>
  </si>
  <si>
    <t>Molecular Devices - Performance Analytics &amp; Reporting</t>
  </si>
  <si>
    <t>North West Distribution - Replacement for AMS</t>
  </si>
  <si>
    <t>Prospect moved it to Jan 2026</t>
  </si>
  <si>
    <t>North West Distribution</t>
  </si>
  <si>
    <t>Hitachi Industrial Equipment Systems - SEO for https://www.hitachi-ies.co.jp/ (Japanese)</t>
  </si>
  <si>
    <t>Did not win this project</t>
  </si>
  <si>
    <t>HIES</t>
  </si>
  <si>
    <t>Hitachi Industrial Equipment Systems - SEO strategy and implementation - https://www.hitachi-ies.com/ (English)</t>
  </si>
  <si>
    <t>Fannie Mae - RFP for Digital Marketing</t>
  </si>
  <si>
    <t>RFP on hold for now</t>
  </si>
  <si>
    <t>Miller Knoll - Social Media Management Platform Provider</t>
  </si>
  <si>
    <t>No POC being done. Client will provide new requirements</t>
  </si>
  <si>
    <t>RFP response submitted, confidence to win for delivery in 2026</t>
  </si>
  <si>
    <t>GIZ</t>
  </si>
  <si>
    <t>Inatech - Web Marketing support</t>
  </si>
  <si>
    <t>Top-of-funnel activities. Working with Ram</t>
  </si>
  <si>
    <t>IHG - Web Marketing support</t>
  </si>
  <si>
    <t>Request sent to Raj Verma to follow up with Vivien. Also had a meeting with Ankur's contact: Ketan</t>
  </si>
  <si>
    <t>NetApp - Staff Augmentation</t>
  </si>
  <si>
    <t>Top-of-funnel activities.</t>
  </si>
  <si>
    <t>DS55_Projection</t>
  </si>
  <si>
    <t>Moveworks - Web Marketing Support</t>
  </si>
  <si>
    <t>Neeraj/Sunil</t>
  </si>
  <si>
    <t>Jennifer, Lesley, Heather</t>
  </si>
  <si>
    <t>Judy</t>
  </si>
  <si>
    <t>Ben</t>
  </si>
  <si>
    <t>Jim</t>
  </si>
  <si>
    <t>Jon, Ramesh, Vani</t>
  </si>
  <si>
    <t>Stephen</t>
  </si>
  <si>
    <t>TCS India Staffing</t>
  </si>
  <si>
    <t>There are no opportunities identified at this stage</t>
  </si>
  <si>
    <t>TCS</t>
  </si>
  <si>
    <t>Michael Crites</t>
  </si>
  <si>
    <t>Conde Group</t>
  </si>
  <si>
    <t>CondeGroup acquired by another company. Due to new internal policies, the company terminated the current contract(s)</t>
  </si>
  <si>
    <t>CondeGroup</t>
  </si>
  <si>
    <t>MatchPoint</t>
  </si>
  <si>
    <t>Sub-Total : Staffing (Wendy)</t>
  </si>
  <si>
    <t>Total Staffing (Secured + Projection + Wendy)</t>
  </si>
  <si>
    <t>Month</t>
  </si>
  <si>
    <t>Days</t>
  </si>
  <si>
    <t>Hours</t>
  </si>
  <si>
    <t>Please note: All data entered below this line was discarded as of July 29, 2025.</t>
  </si>
  <si>
    <t>Conde Group, Inc.</t>
  </si>
  <si>
    <t>Maxonic Inc.</t>
  </si>
  <si>
    <t>Mindsource</t>
  </si>
  <si>
    <t>Match Point (WWT)</t>
  </si>
  <si>
    <t>Johnson Service Group Inc.</t>
  </si>
  <si>
    <t>Trans American Information Systems, Inc.</t>
  </si>
  <si>
    <t>VDart Inc</t>
  </si>
  <si>
    <t>Red Oak Technologies</t>
  </si>
  <si>
    <t>The Mice Groups Inc</t>
  </si>
  <si>
    <t>Evolutionary System Corp.</t>
  </si>
  <si>
    <t>Infostretch Corporation</t>
  </si>
  <si>
    <t>_New Business SS</t>
  </si>
  <si>
    <t>_New Business PG</t>
  </si>
  <si>
    <t>_New Business BS</t>
  </si>
  <si>
    <t>Projects</t>
  </si>
  <si>
    <t>Jan - Mar</t>
  </si>
  <si>
    <t>Apr - Sep</t>
  </si>
  <si>
    <t>Oct - Dec</t>
  </si>
  <si>
    <t>SEMI - UI/UX Designer</t>
  </si>
  <si>
    <t>Line Item</t>
  </si>
  <si>
    <t xml:space="preserve">Recommended Action Items for Sustaining and Growth </t>
  </si>
  <si>
    <t>Enhance both NVISH and MTI web properties to effectively showcase our capabilities, success stories, and portfolio.</t>
  </si>
  <si>
    <t>Execute brand-building initiatives and targeted campaigns to highlight our expertise and achievements.</t>
  </si>
  <si>
    <t>Generate lead introductions through our executives and sales associates.</t>
  </si>
  <si>
    <t>Strengthen the process of assisting professionals from our network who are exploring new job opportunities.</t>
  </si>
  <si>
    <t>Hire a sales hunter to proactively identify and close new business opportunities.</t>
  </si>
  <si>
    <t>Pursue introductions with S-curve companies for strategic growth engagements.</t>
  </si>
  <si>
    <t>Establish solution partnerships with platforms such as SEMRush, HubSpot, Marketo, UiPath etc., and leverage visibility on their partner portals.</t>
  </si>
  <si>
    <t>Develop proofs of concept (POCs) to demonstrate our technical strengths and innovation.</t>
  </si>
  <si>
    <t>Drive training and certification of our teams on emerging technologies, especially AI tools.</t>
  </si>
  <si>
    <t>Monitor and analyze the careers sections and LinkedIn of our target companies (especially those where we have connections or MSAs) to understand hiring trends and plan proactive outreach.</t>
  </si>
  <si>
    <t>Hewlett Packard Enterprise Company(SOW-  Ami Noss)</t>
  </si>
  <si>
    <t>Heather Smith</t>
  </si>
  <si>
    <t>Jennifer Milhausen</t>
  </si>
  <si>
    <t>Lesley Krone</t>
  </si>
  <si>
    <t>Hewlett Packard Enterprise Company(SOW-  Rebecca Wissinger)</t>
  </si>
  <si>
    <t>Judy-Anne K Goldman</t>
  </si>
  <si>
    <t>Hewlett Packard Enterprise Company (Rest of SOW minus above 2 SOWs)</t>
  </si>
  <si>
    <t>Benjamin Nalezny</t>
  </si>
  <si>
    <t>Jim Walsh</t>
  </si>
  <si>
    <t>Jonathan Williams</t>
  </si>
  <si>
    <t>Ramesh Babu</t>
  </si>
  <si>
    <t>Stephen Usher</t>
  </si>
  <si>
    <t>Vani Pindiproli</t>
  </si>
  <si>
    <t>Green: Legacy account, Little Growth, Blue: Legacy Account with Growth, Yellow: New Logo with jobs, Orange: Pipeline</t>
  </si>
  <si>
    <t>Status</t>
  </si>
  <si>
    <t>Jan 2024</t>
  </si>
  <si>
    <t>Feb 2024</t>
  </si>
  <si>
    <t>Mar 2024</t>
  </si>
  <si>
    <t>Apr 2024</t>
  </si>
  <si>
    <t>May 2024</t>
  </si>
  <si>
    <t>Jun 2024</t>
  </si>
  <si>
    <t>Jul 2024</t>
  </si>
  <si>
    <t>Solutions and Staff Augmentation</t>
  </si>
  <si>
    <t>Confirmed</t>
  </si>
  <si>
    <t>AuditBoard, Inc.</t>
  </si>
  <si>
    <t>Automation Anywhere, Inc</t>
  </si>
  <si>
    <t>Closed</t>
  </si>
  <si>
    <t>Blaze Technology, Inc.</t>
  </si>
  <si>
    <t>Check Point Software Technologies Ltd.</t>
  </si>
  <si>
    <t>Chooch.com</t>
  </si>
  <si>
    <t>Church's Chicken</t>
  </si>
  <si>
    <t>Databricks Web Accessibility</t>
  </si>
  <si>
    <t>Getting merged in October with Ongoing Support SOW</t>
  </si>
  <si>
    <t>Hitachi America, Ltd.</t>
  </si>
  <si>
    <t>Hitachi Asia Ltd.</t>
  </si>
  <si>
    <t>Hitachi High Technologies America, Inc.</t>
  </si>
  <si>
    <t>Hitachi Industrial Equipment &amp; Solutions America, LLC</t>
  </si>
  <si>
    <t>Hitachi Vantara LLC</t>
  </si>
  <si>
    <t>Hewlett Packard Enterprise Company (India Staff Augmentation)</t>
  </si>
  <si>
    <t>Icertis Inc.</t>
  </si>
  <si>
    <t>LeapPoint, LLC</t>
  </si>
  <si>
    <t>LiveRamp, Inc.</t>
  </si>
  <si>
    <t>Lob.com</t>
  </si>
  <si>
    <t>Molecular Devices Inc.</t>
  </si>
  <si>
    <t>Marvell</t>
  </si>
  <si>
    <t>RingCentral, Inc.</t>
  </si>
  <si>
    <t>UiPath Inc.</t>
  </si>
  <si>
    <t>Paused</t>
  </si>
  <si>
    <t>VMware LLC</t>
  </si>
  <si>
    <t>WekaIO, Inc.</t>
  </si>
  <si>
    <t>Growth</t>
  </si>
  <si>
    <t xml:space="preserve">Databricks Martech Platform Operations </t>
  </si>
  <si>
    <t>Candidate shortlisted by client. SOW start date Jan 2</t>
  </si>
  <si>
    <t>Databricks Web Producers for Event Management (3 Swoogo developers)</t>
  </si>
  <si>
    <t>Start Date Feb. Team of 3 Web Producers for Event Management</t>
  </si>
  <si>
    <t>Databricks Analyst for Insights (5 months)</t>
  </si>
  <si>
    <t>LOST</t>
  </si>
  <si>
    <t>Polis Educational Solutions, Inc.</t>
  </si>
  <si>
    <t>Client's expecation was to spend too little and get the product developed. Not beneficial for NVISH to take it on..</t>
  </si>
  <si>
    <t>Kubota Tractors</t>
  </si>
  <si>
    <t>Part time Consultant Architect with python, Azure, postgres background</t>
  </si>
  <si>
    <t>Databricks Nintex Developer</t>
  </si>
  <si>
    <t>We are looking for Nintex developers for client round</t>
  </si>
  <si>
    <t>UNDP</t>
  </si>
  <si>
    <t>Submitted SOW for fixed cost</t>
  </si>
  <si>
    <t>RingCentral SEM landing pages creation</t>
  </si>
  <si>
    <t>SOW submitted for approval</t>
  </si>
  <si>
    <t xml:space="preserve">UiPath Community and Forum  maintenance </t>
  </si>
  <si>
    <t>One developer with expertise in Discourse and Front End</t>
  </si>
  <si>
    <t>SubTotal Confirmed + Growth</t>
  </si>
  <si>
    <t>Inscopix</t>
  </si>
  <si>
    <t>Neuron 7</t>
  </si>
  <si>
    <t>Outsourcing4work GmBH</t>
  </si>
  <si>
    <t>Serene Sleep</t>
  </si>
  <si>
    <t>UNICEF</t>
  </si>
  <si>
    <t>Vast Data</t>
  </si>
  <si>
    <t>SubTotal Projection</t>
  </si>
  <si>
    <t>The Mom Project</t>
  </si>
  <si>
    <t>Raghu</t>
  </si>
  <si>
    <t>Icon Parking</t>
  </si>
  <si>
    <t>GalaxESystems</t>
  </si>
  <si>
    <t>Ram</t>
  </si>
  <si>
    <t xml:space="preserve">Plume </t>
  </si>
  <si>
    <t>Extreme Networks</t>
  </si>
  <si>
    <t>8x8</t>
  </si>
  <si>
    <t>YETI MY FRIEND</t>
  </si>
  <si>
    <t>SubTotal Prospecting</t>
  </si>
  <si>
    <t>Hewlett Packard Enterprise Company</t>
  </si>
  <si>
    <t>IDC Technologies Inc.</t>
  </si>
  <si>
    <t>Staffing Total</t>
  </si>
  <si>
    <t>Client Name</t>
  </si>
  <si>
    <t>Meeting time</t>
  </si>
  <si>
    <t>Current Deliverables</t>
  </si>
  <si>
    <t>Oppurtunites/Risks</t>
  </si>
  <si>
    <t>Manjeet will be able to meet if he is in town</t>
  </si>
  <si>
    <t>Dec 8th meet at 3 PM</t>
  </si>
  <si>
    <t>Becca will be able to meet if she is in town and her work schedule permits. </t>
  </si>
  <si>
    <t>TBD</t>
  </si>
  <si>
    <t>1. Website  Support 
   a. Web Production
   b. Accessibility,
   c. Management
   d. SEO, GEO​
2. Marketing Operations
   a. Campaign Planning Support
   b. Campaign creation &amp; Launch
   c. Workflow automation, Scripting 
   c. Backend Management</t>
  </si>
  <si>
    <t xml:space="preserve">1. We are currently supporting Web Production where as Web Development is owned by another team under Databricks. This is a growth oppurtunity
2. Analytics is another area where we can explore </t>
  </si>
  <si>
    <t>Eddie will be able to meet if he is not traveling.</t>
  </si>
  <si>
    <t>Dec 10th lunch at 1:15 PM at https://tadichgrillsf.com/</t>
  </si>
  <si>
    <t>1. Support for existing and new EGIA application change requests.
2. Design and manage scalable, optimized databases end-to-end.
3. Modernize applications with AI integration, tech stack upgrades, and improved UI/UX.
4. Enable secure data movement across systems via REST APIs and data pipelines.
5. Provide production support for all live applications and backend processes.</t>
  </si>
  <si>
    <t>The workload has increased significantly, so this is a good time to propose an expansion of the team. This will also ensure we maintain an appropriate resource backup and continuity plan.</t>
  </si>
  <si>
    <t>JSJ</t>
  </si>
  <si>
    <t>James is available to meet on 12/11 evening</t>
  </si>
  <si>
    <t>Dec 11th meet at 4 PM</t>
  </si>
  <si>
    <t>Gianni is busy in December and has asked to schedule a video call sometime in January. </t>
  </si>
  <si>
    <t>Teams meeting in January</t>
  </si>
  <si>
    <t>Ring Central</t>
  </si>
  <si>
    <t>Yansu will be able to meet if she is in town and her work schedule permits. </t>
  </si>
  <si>
    <t>Yansu can only do Teams meeting on 12/10 from 9 AM to 9:30 AM</t>
  </si>
  <si>
    <t>Siva will be able to meet if he is not traveling </t>
  </si>
  <si>
    <t>1. Website Development
   a. Component cration
   b. Templates creation
   c. Page Authoring
   d. QA Automation
2. Website Analytics and Audit Reports
3. Translation</t>
  </si>
  <si>
    <t xml:space="preserve">1. Creative Services
2. Marketing Operations
   a. Campaign Planning Support
   b. Campaign creation &amp; Launch
   c. Workflow automation, Scripting 
   c. Backend Management
3. SEO/GEO
</t>
  </si>
  <si>
    <t>AAI</t>
  </si>
  <si>
    <t>Resources</t>
  </si>
  <si>
    <t>Monthly Revenue</t>
  </si>
  <si>
    <t>Margin after appraisal</t>
  </si>
  <si>
    <t>CBTS</t>
  </si>
  <si>
    <t>Databricks - Martech Platform Operations Administrator</t>
  </si>
  <si>
    <t>DevOps</t>
  </si>
  <si>
    <t>Exit</t>
  </si>
  <si>
    <t>HAL-Digital Web Marketing</t>
  </si>
  <si>
    <t>HAL-Marketo Support</t>
  </si>
  <si>
    <t>Hitachi India</t>
  </si>
  <si>
    <t>HPE-Enterprise Marketing Strategy &amp; Operations for the APJ region</t>
  </si>
  <si>
    <t>HPE-SOW- Data &amp; Analytics- Zainab Jamal</t>
  </si>
  <si>
    <t>HPE-SOW- Data Foundations- Shashidhar Iddamsetty</t>
  </si>
  <si>
    <t>HPE-SOW- Marketing Automation- Robert Folk</t>
  </si>
  <si>
    <t>HPE-SOW- SEO PM HPE Store- Hament Dudeja</t>
  </si>
  <si>
    <t>HPE-SOW- SEO Strategy Implementation and Optimizations- Towa Ghosh</t>
  </si>
  <si>
    <t>HPE-SOW- Social Media Management- Leslie</t>
  </si>
  <si>
    <t>HR</t>
  </si>
  <si>
    <t>India Staffing</t>
  </si>
  <si>
    <t>Internal Hiring</t>
  </si>
  <si>
    <t>IT Support</t>
  </si>
  <si>
    <t>Management</t>
  </si>
  <si>
    <t>Nextiz</t>
  </si>
  <si>
    <t>NVISH</t>
  </si>
  <si>
    <t>Proposal writing</t>
  </si>
  <si>
    <t>US Staffing</t>
  </si>
  <si>
    <t>Client</t>
  </si>
  <si>
    <t>Growth Oppurtunities</t>
  </si>
  <si>
    <t>Neeraj Comments</t>
  </si>
  <si>
    <t>Column1</t>
  </si>
  <si>
    <t>Hewlett Packard Enterprise</t>
  </si>
  <si>
    <t xml:space="preserve">No known growth opportunity </t>
  </si>
  <si>
    <t xml:space="preserve"> </t>
  </si>
  <si>
    <t xml:space="preserve">We are currently working for Rebate Administration and Processing business of EGIA and other mentioned areas are not with us.
Rebate Administration &amp; Processing
AI base solutions to cut down the Application Processing time by processors. This reduces the Operational Cost and increase margin. 
Strategic team expansion to support sustained business growth and rising operational demands.
Digital marketing
EGIA blog
Social media Marketing
Email Marketing
Website Development :
Corporate Website:
Egia.org
socalwatersmar.com
Learning Management System
Contractor University:  Online Courses &amp; Resources for Business Coaching, Sales &amp; Marketing Training &amp; Technical Training.
HVAC Distributor University: Online Courses &amp; Resources for Business Coaching, Sales &amp; Marketing Training  &amp; Technical Training for Distributor Contractor Network.
Marketplace
Contractor Only Marketplace: Discounted Products &amp; Services to Run a Successful Contracting Business, listed by Companies looking for Increased Exposure and brand visibility.
Please Note: In the management call with Edie, ChatBot was discussed, and subsequently Edie assigned this ChatBot integration task to the Nvish team, and the same has been delivered. </t>
  </si>
  <si>
    <t>They have a resource in USA who does their website, social, and web marketing?
Or now they have engaged some other vendor?</t>
  </si>
  <si>
    <t xml:space="preserve">1. Now that the migration of most of the important websites is being migrated to AEM, work with https://www.linkedin.com/in/masaki-tanaka-784941258/ and https://www.linkedin.com/in/sjcrouch/ to get a maintenance contract.
2. While migration SEO was not part of the scope. We need to work again with Hitachi Japan to see if AEO/GEO work can be granted
3. Hitachi is hiring a couple of employees in the Growth team led by https://www.linkedin.com/in/barirani/. Because of this, they are not going to use Campaign and designer from Nvish. Build a relationship with Arya so that he can look at Nvish as a partner. 
4. Two websites still need to be migrated to AEM. Work with Simon and see if these too can be assigned to Nvish
    a. HIESA
    b. Hitachi marking and coding 
Hitachi US, Canada, Mexico , India , Singapore and Australia for Digital marketing or SEO
 </t>
  </si>
  <si>
    <t>Need to showcase our SEO/AEO/GEO skills either with some client implementation or implementation on our web properties.
Did you check with Abhishek regarding HIESA and Hitachi Marking and coding migrations?</t>
  </si>
  <si>
    <t>As a regular practice review the careers sections of each of our existing and ex-client to get insights and requirements so that we can define strategy to pitch to them.</t>
  </si>
  <si>
    <t>Activities</t>
  </si>
  <si>
    <t>Owner</t>
  </si>
  <si>
    <t>Support To Sales Team</t>
  </si>
  <si>
    <t>Provide narrative / positioning / thinking / context to be developed along with the requirement</t>
  </si>
  <si>
    <t>Sales Team</t>
  </si>
  <si>
    <t xml:space="preserve">Designing Marketing Collaterals &amp; Marketing Material </t>
  </si>
  <si>
    <t>Marketing Team</t>
  </si>
  <si>
    <t xml:space="preserve">Ongoing </t>
  </si>
  <si>
    <t>Do Research, Site &amp; Competitive Analysis to provide talking points to Sales Teams</t>
  </si>
  <si>
    <t>Digital Marketing Campaigns on Metasys</t>
  </si>
  <si>
    <t> </t>
  </si>
  <si>
    <t>Website</t>
  </si>
  <si>
    <t>Received the Figma Design for the Home and About Us page and we have shared our Feedback</t>
  </si>
  <si>
    <t>Done</t>
  </si>
  <si>
    <t>New content for Home page and About us page, also working on the content for other pages as well</t>
  </si>
  <si>
    <t>Update the Website Banner</t>
  </si>
  <si>
    <t>Add Newark, CA office address (39899 Balentine Dr, Newark, CA) to NVISH Contact Us page</t>
  </si>
  <si>
    <t>Home Page: Ensure the top-of-the-fold page talks about key skills and the offerings that are in discussion with potential customers.</t>
  </si>
  <si>
    <t>WIP</t>
  </si>
  <si>
    <t>Service Pages: Ensure that all key service pages have meaningul content and case studies.</t>
  </si>
  <si>
    <t>Testimonials/Reviews: Upload Testimonials received on website after successful launch</t>
  </si>
  <si>
    <t>Search Engine Optimization/GEO</t>
  </si>
  <si>
    <t>Working on the new pages i.e. AI, GEO, partnerships etc.</t>
  </si>
  <si>
    <t>Competitor keyword gap analysis</t>
  </si>
  <si>
    <t>AI competitive Research and Optimize the website for AI-driven search algorithms.</t>
  </si>
  <si>
    <t>Breadcrumb structure with structured data</t>
  </si>
  <si>
    <t>Perform onpage and offpage SEO on key pages so that website offerings improve on search engines</t>
  </si>
  <si>
    <t>old blog optimization with keyword mapping, prompts &amp; faq</t>
  </si>
  <si>
    <t>Email Campaigns</t>
  </si>
  <si>
    <t>Segmentation of Data: Provide segmented contact lists based on industry, job title, company size, and past interactions.</t>
  </si>
  <si>
    <t>Attendee Data Collection: Share details of attendees from webinars, events, or past engagements.</t>
  </si>
  <si>
    <t>Lead Qualification: Identify high-priority leads for targeted outreach.</t>
  </si>
  <si>
    <t>Regular Updates: Keep marketing updated on new leads for campaign inclusion.</t>
  </si>
  <si>
    <t>Setting Up in Apollo: Upload and segment data into Apollo for email automation.</t>
  </si>
  <si>
    <t>Email Campaign Execution: Design and launch personalized outreach campaigns.</t>
  </si>
  <si>
    <t>Engagement Tracking: Monitor open rates, responses, and lead interactions.</t>
  </si>
  <si>
    <t>HubSpot Integration: Ensure engaged leads automatically sync with HubSpot.</t>
  </si>
  <si>
    <t>Lead Nurturing in HubSpot: Run follow-up email sequences in HubSpot for warm leads.</t>
  </si>
  <si>
    <t>Reporting &amp; Optimization: Track campaign performance and refine outreach strategies.</t>
  </si>
  <si>
    <t>Social Media &amp; Sales Navigator</t>
  </si>
  <si>
    <t>Content Calendar: Create a monthly content calendar to maintain consistent posting (3–5 posts per week per platform).</t>
  </si>
  <si>
    <t>Complete</t>
  </si>
  <si>
    <t>Types of Posts:</t>
  </si>
  <si>
    <t>Have taken the reference from the linkedin profiles (shared by Neeraj Sir), created the post on the basis of their expertize and engaged posts</t>
  </si>
  <si>
    <t>AI Trends &amp; Insights: Share thought leadership content on the role of AI in business and technology.</t>
  </si>
  <si>
    <t>In Progress</t>
  </si>
  <si>
    <t>Product/Service Updates: Showcase AI-driven solutions, features, and innovations offered by NVISH.</t>
  </si>
  <si>
    <t>Client Testimonials/Case Studies: Share stories where AI-powered solutions made a significant impact.</t>
  </si>
  <si>
    <t>No new testimonal</t>
  </si>
  <si>
    <t>In between regular postings, we should focus on promoting services that are currently under discussion with potential clients.</t>
  </si>
  <si>
    <t>Engagement Strategy:</t>
  </si>
  <si>
    <t>Respond to Comments and DMs: Engage/Collaborate  with followers actively to build a loyal community.</t>
  </si>
  <si>
    <t>Engagement activities should include interacting with other posts and sharing links through employees to increase visibility.</t>
  </si>
  <si>
    <t>SalesNavigator: ( targeting C-suite profiles)</t>
  </si>
  <si>
    <t>Built Sales Navigator account lists for Atlanta, GA and Austin, TX (ICP-aligned), sourcing 104 target companies total.</t>
  </si>
  <si>
    <t>Identifying key decision makers 62 from California, Austin and Atlanta, and have sent 15 connection requests to ICP-aligned leads.</t>
  </si>
  <si>
    <t>Create segmented lead lists by industry, job title, or company type.</t>
  </si>
  <si>
    <t xml:space="preserve">Connect with leads through personalized connection requests and follow-up messages. </t>
  </si>
  <si>
    <t>Save promising leads and set up alerts to track their activities and updates. Engage with their content by liking or commenting on posts.</t>
  </si>
  <si>
    <t>Use LinkedIn InMail to send personalized outreach messages to high-potential leads, offering value and initiating a conversation.</t>
  </si>
  <si>
    <r>
      <t xml:space="preserve">Review Current clients in </t>
    </r>
    <r>
      <rPr>
        <i/>
        <sz val="11"/>
        <color rgb="FF000000"/>
        <rFont val="Aptos Narrow"/>
      </rPr>
      <t>“Metasys LinkedIn Connections – NK”</t>
    </r>
    <r>
      <rPr>
        <sz val="11"/>
        <color rgb="FF000000"/>
        <rFont val="Aptos Narrow"/>
      </rPr>
      <t xml:space="preserve"> mapping tab; document past work, current engagement, and tailor LinkedIn campaigns accordingly</t>
    </r>
  </si>
  <si>
    <t>Identify and review Past clients; analyze historical relationship, previous engagements, and re-engagement opportunities</t>
  </si>
  <si>
    <t>Brainstorm with internal sales and delivery leads on Current &amp; Past clients to refine campaign messaging and positioning</t>
  </si>
  <si>
    <t>Develop tailored LinkedIn outreach strategies for current vs past clients based on relationship status</t>
  </si>
  <si>
    <t>Create employee amplification process to ensure likes, shares, and engagement on all LinkedIn posts</t>
  </si>
  <si>
    <t>Redirect LinkedIn campaigns to dedicated landing pages instead of generic “Contact Us” page</t>
  </si>
  <si>
    <t>Execute LinkedIn campaigns with a full lifecycle approach: strategy, calendar, execution, analysis, and optimization</t>
  </si>
  <si>
    <t>Use AI tools (e.g., ChatGPT) to review, refine, and optimize campaign messaging prior to publishing</t>
  </si>
  <si>
    <t>Existing Accounts</t>
  </si>
  <si>
    <t>AAI (Competitive Audit)</t>
  </si>
  <si>
    <t>Event ROI PPT for Hitachi</t>
  </si>
  <si>
    <t>Ongoing</t>
  </si>
  <si>
    <t>New Audit</t>
  </si>
  <si>
    <t>Autel Energy</t>
  </si>
  <si>
    <t>Active Headcount Details</t>
  </si>
  <si>
    <t>EMPLOYEE FIRST NAME</t>
  </si>
  <si>
    <t>EMPLOYEE LAST NAME</t>
  </si>
  <si>
    <t>CLIENT</t>
  </si>
  <si>
    <t>Start Date</t>
  </si>
  <si>
    <t>End Date</t>
  </si>
  <si>
    <t>SOW Name</t>
  </si>
  <si>
    <t>PO# If any</t>
  </si>
  <si>
    <t>Team Name</t>
  </si>
  <si>
    <t>Billing POC</t>
  </si>
  <si>
    <t>Michael</t>
  </si>
  <si>
    <t>Crites</t>
  </si>
  <si>
    <t>Databricks SEO Content Strategist</t>
  </si>
  <si>
    <t>Vishal</t>
  </si>
  <si>
    <t>Jeralyn Manaog</t>
  </si>
  <si>
    <t>Maturan</t>
  </si>
  <si>
    <t>Nidhi</t>
  </si>
  <si>
    <t>Junhua</t>
  </si>
  <si>
    <t>Zhang</t>
  </si>
  <si>
    <t>Kusum</t>
  </si>
  <si>
    <t>Dmytro</t>
  </si>
  <si>
    <t>Volokhov</t>
  </si>
  <si>
    <t>Erin</t>
  </si>
  <si>
    <t>Curran</t>
  </si>
  <si>
    <t>Ina Francis</t>
  </si>
  <si>
    <t>Balomaga</t>
  </si>
  <si>
    <t>Mary Grace</t>
  </si>
  <si>
    <t>Tumala</t>
  </si>
  <si>
    <t>Terminated Headcount Details</t>
  </si>
  <si>
    <t>Fei</t>
  </si>
  <si>
    <t>Truong</t>
  </si>
  <si>
    <t>First SOW for $1,200 has been approved and delivered
We also secured a maintenance SOW for $8,150 a month with Sa sart date of Feb 2, 2026
Another proposal for $180K To migrate Wethe wsite to ContentStack has been submitted on May 9</t>
  </si>
  <si>
    <t>Apart from regular staff augmentation SOWs in 2025, we completed a couple of AEM migration projects.
 As these sites are either live or will be live by Dec 2025, we should be able to secure Website Maintenance and Update SOWs in 2026.
Our Creative and Marketo SOW has been discontinued by HAL from April 2026
Secured a fixed cost project, "Critical Minerals AI Analysis solution." 
Signed a new SOW for Digital Marketing Operation Specialist $5000/month. Tentative start date May 18</t>
  </si>
  <si>
    <t xml:space="preserve">Billing until March is actual
Billing April - Dec are projections based on proposals submitted to Hiachi India. 
Client visiting India office May 6, 7 to go over the 2026 projects. 4 proposal submitted for approval. Another AI project propsal is under disciussion </t>
  </si>
  <si>
    <r>
      <rPr>
        <b/>
        <sz val="10"/>
        <color rgb="FF000000"/>
        <rFont val="Arial"/>
      </rPr>
      <t>June 2024</t>
    </r>
    <r>
      <rPr>
        <sz val="10"/>
        <color rgb="FF000000"/>
        <rFont val="Arial"/>
      </rPr>
      <t xml:space="preserve">: We onboarded an additional Project Manager for the APJ region, along with a Data Scientist and an extra Marketo Specialist, resulting in a revenue increase.
November 2024: A separate SOW was added for a Project Manager role, further contributing to revenue growth.
</t>
    </r>
    <r>
      <rPr>
        <b/>
        <sz val="10"/>
        <color rgb="FF000000"/>
        <rFont val="Arial"/>
      </rPr>
      <t>February 2025:</t>
    </r>
    <r>
      <rPr>
        <sz val="10"/>
        <color rgb="FF000000"/>
        <rFont val="Arial"/>
      </rPr>
      <t xml:space="preserve"> HPE did not renew the SOWs for the Project Manager and Data Scientist, leading to a reduction in revenue.
</t>
    </r>
    <r>
      <rPr>
        <b/>
        <sz val="10"/>
        <color rgb="FF000000"/>
        <rFont val="Arial"/>
      </rPr>
      <t xml:space="preserve">August 2025: </t>
    </r>
    <r>
      <rPr>
        <sz val="10"/>
        <color rgb="FF000000"/>
        <rFont val="Arial"/>
      </rPr>
      <t xml:space="preserve">A new SOW for branding updates was introduced, starting at $5,600 per month and growing to $13,933 per month by November.
</t>
    </r>
    <r>
      <rPr>
        <b/>
        <sz val="10"/>
        <color rgb="FF000000"/>
        <rFont val="Arial"/>
      </rPr>
      <t>November 2025:</t>
    </r>
    <r>
      <rPr>
        <sz val="10"/>
        <color rgb="FF000000"/>
        <rFont val="Arial"/>
      </rPr>
      <t xml:space="preserve"> HPE discontinued our Python Developer role and converted our Social Media resource to an HPE FTE, resulting in an additional revenue decline.
</t>
    </r>
    <r>
      <rPr>
        <b/>
        <sz val="10"/>
        <color rgb="FF000000"/>
        <rFont val="Arial"/>
      </rPr>
      <t>February 2026</t>
    </r>
    <r>
      <rPr>
        <sz val="10"/>
        <color rgb="FF000000"/>
        <rFont val="Arial"/>
      </rPr>
      <t xml:space="preserve">: HPE discontinued the SEO project, causing a further revenue drop of $14,166 per month.
April 2026: HPE will pay $7,000 as a finder's fee for hiring our employee Dilpreet as an FTE from May 2026
In May 2026 there is a reduction in billing with Dilpreet joining HPE as a full-time employee
Signed a new SOW of Proofreader, April 2026, with a bill rate of $35/hour
Two SOW are approved until Oct 2026, and the rest till July 2026. 
The client has also asked to change 2 resources with the Data Analysis skillset to a Data Analyst with Development knowledge, and another one with DevOps expertise. Working on the replacement. </t>
    </r>
  </si>
  <si>
    <t>SOW has been renewed until Jun 3, 2026</t>
  </si>
  <si>
    <t>The current SOW is approved until Jun 2026
Compared to 2025, the client has reduced the team size by four resources.</t>
  </si>
  <si>
    <t xml:space="preserve">The client has given us a 2-month notice for SOW termination mid Mar 2026
We are trying to showcase our expertise to secure a full or partial renewal. </t>
  </si>
  <si>
    <t xml:space="preserve">SOW valid until July 31,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</si>
</sst>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quot;$&quot;#,##0"/>
  </numFmts>
  <fonts count="64">
    <font>
      <sz val="10"/>
      <color indexed="8"/>
      <name val="Arial"/>
      <family val="2"/>
    </font>
    <font>
      <sz val="11"/>
      <color theme="1"/>
      <name val="Aptos Narrow"/>
      <family val="2"/>
      <scheme val="minor"/>
    </font>
    <font>
      <b/>
      <sz val="8"/>
      <color indexed="8"/>
      <name val="Arial"/>
      <family val="2"/>
    </font>
    <font>
      <sz val="8"/>
      <name val="Aptos Narrow"/>
      <family val="2"/>
      <scheme val="minor"/>
    </font>
    <font>
      <b/>
      <sz val="8"/>
      <color rgb="FFFF0000"/>
      <name val="Arial"/>
      <family val="2"/>
    </font>
    <font>
      <b/>
      <sz val="10"/>
      <color indexed="8"/>
      <name val="Calibri"/>
      <family val="2"/>
    </font>
    <font>
      <sz val="10"/>
      <color indexed="8"/>
      <name val="Calibri"/>
      <family val="2"/>
    </font>
    <font>
      <b/>
      <sz val="10"/>
      <color theme="1"/>
      <name val="Calibri"/>
      <family val="2"/>
    </font>
    <font>
      <sz val="10"/>
      <color theme="1"/>
      <name val="Calibri"/>
      <family val="2"/>
    </font>
    <font>
      <sz val="10"/>
      <color rgb="FFFF0000"/>
      <name val="Calibri"/>
      <family val="2"/>
    </font>
    <font>
      <sz val="11"/>
      <color indexed="8"/>
      <name val="Aptos Narrow"/>
      <family val="2"/>
      <scheme val="minor"/>
    </font>
    <font>
      <b/>
      <i/>
      <sz val="8"/>
      <color rgb="FF000000"/>
      <name val="Arial"/>
      <family val="2"/>
    </font>
    <font>
      <sz val="8"/>
      <color indexed="8"/>
      <name val="Arial"/>
      <family val="2"/>
    </font>
    <font>
      <b/>
      <sz val="8"/>
      <color theme="1"/>
      <name val="Arial"/>
      <family val="2"/>
    </font>
    <font>
      <sz val="8"/>
      <color theme="1"/>
      <name val="Arial"/>
      <family val="2"/>
    </font>
    <font>
      <sz val="11"/>
      <color theme="0"/>
      <name val="Aptos Narrow"/>
      <family val="2"/>
      <scheme val="minor"/>
    </font>
    <font>
      <sz val="11"/>
      <color rgb="FF000000"/>
      <name val="Aptos Narrow"/>
      <family val="2"/>
    </font>
    <font>
      <i/>
      <sz val="8"/>
      <color rgb="FF000000"/>
      <name val="Arial"/>
      <family val="2"/>
    </font>
    <font>
      <b/>
      <sz val="11"/>
      <color indexed="8"/>
      <name val="Arial Black"/>
      <family val="2"/>
    </font>
    <font>
      <b/>
      <sz val="11"/>
      <color indexed="8"/>
      <name val="Arial"/>
      <family val="2"/>
    </font>
    <font>
      <b/>
      <sz val="11"/>
      <color rgb="FF000000"/>
      <name val="Aptos Narrow"/>
      <family val="2"/>
    </font>
    <font>
      <b/>
      <sz val="12"/>
      <color rgb="FF000000"/>
      <name val="Aptos Narrow"/>
      <family val="2"/>
    </font>
    <font>
      <sz val="8"/>
      <color theme="0"/>
      <name val="Arial"/>
      <family val="2"/>
    </font>
    <font>
      <i/>
      <sz val="9"/>
      <color indexed="8"/>
      <name val="Calibri"/>
      <family val="2"/>
    </font>
    <font>
      <sz val="9"/>
      <color rgb="FFFFFFFF"/>
      <name val="Calibri"/>
      <family val="2"/>
    </font>
    <font>
      <sz val="9"/>
      <color indexed="8"/>
      <name val="Calibri"/>
      <family val="2"/>
    </font>
    <font>
      <b/>
      <sz val="9"/>
      <color indexed="8"/>
      <name val="Calibri"/>
      <family val="2"/>
    </font>
    <font>
      <sz val="11"/>
      <color rgb="FFFF0000"/>
      <name val="Aptos Narrow"/>
      <family val="2"/>
      <scheme val="minor"/>
    </font>
    <font>
      <sz val="12"/>
      <color rgb="FFFFFFFF"/>
      <name val="Aptos Narrow"/>
      <family val="2"/>
    </font>
    <font>
      <b/>
      <sz val="11"/>
      <color rgb="FF0D6E07"/>
      <name val="Aptos Narrow"/>
      <family val="2"/>
      <scheme val="minor"/>
    </font>
    <font>
      <b/>
      <sz val="8"/>
      <color rgb="FF1B09BD"/>
      <name val="Arial"/>
      <family val="2"/>
    </font>
    <font>
      <b/>
      <sz val="11"/>
      <color rgb="FF1B09BD"/>
      <name val="Aptos Narrow"/>
      <family val="2"/>
      <scheme val="minor"/>
    </font>
    <font>
      <b/>
      <strike/>
      <sz val="8"/>
      <color rgb="FF1B09BD"/>
      <name val="Arial"/>
      <family val="2"/>
    </font>
    <font>
      <sz val="11"/>
      <color rgb="FF000000"/>
      <name val="Aptos Narrow"/>
      <family val="2"/>
      <scheme val="minor"/>
    </font>
    <font>
      <sz val="11"/>
      <color rgb="FF000000"/>
      <name val="Aptos Narrow"/>
      <scheme val="minor"/>
    </font>
    <font>
      <sz val="11"/>
      <color rgb="FF000000"/>
      <name val="Aptos Narrow"/>
    </font>
    <font>
      <sz val="11"/>
      <color indexed="8"/>
      <name val="Calibri"/>
      <family val="2"/>
    </font>
    <font>
      <b/>
      <sz val="11"/>
      <color indexed="8"/>
      <name val="Calibri"/>
      <family val="2"/>
    </font>
    <font>
      <b/>
      <sz val="11"/>
      <color rgb="FF1B09BD"/>
      <name val="Aptos Narrow"/>
      <scheme val="minor"/>
    </font>
    <font>
      <strike/>
      <sz val="8"/>
      <color rgb="FFFF0000"/>
      <name val="Arial"/>
      <family val="2"/>
    </font>
    <font>
      <sz val="10"/>
      <color indexed="8"/>
      <name val="Arial"/>
      <family val="2"/>
    </font>
    <font>
      <b/>
      <sz val="10"/>
      <color indexed="8"/>
      <name val="Arial"/>
      <family val="2"/>
    </font>
    <font>
      <b/>
      <sz val="10"/>
      <color theme="0"/>
      <name val="Arial"/>
      <family val="2"/>
    </font>
    <font>
      <b/>
      <sz val="11"/>
      <color theme="1"/>
      <name val="Aptos Narrow"/>
      <family val="2"/>
      <scheme val="minor"/>
    </font>
    <font>
      <sz val="11"/>
      <color rgb="FF000000"/>
      <name val="Aptos Narrow"/>
      <charset val="1"/>
    </font>
    <font>
      <b/>
      <sz val="11"/>
      <color theme="1"/>
      <name val="Calibri"/>
      <family val="2"/>
    </font>
    <font>
      <sz val="11"/>
      <color rgb="FF000000"/>
      <name val="Calibri"/>
      <family val="2"/>
    </font>
    <font>
      <b/>
      <sz val="9"/>
      <color indexed="8"/>
      <name val="Arial"/>
      <family val="2"/>
    </font>
    <font>
      <i/>
      <sz val="9"/>
      <color rgb="FF000000"/>
      <name val="Calibri"/>
      <family val="2"/>
    </font>
    <font>
      <sz val="9"/>
      <color rgb="FF000000"/>
      <name val="Calibri"/>
      <family val="2"/>
    </font>
    <font>
      <sz val="8"/>
      <color rgb="FFFF0000"/>
      <name val="Arial"/>
      <family val="2"/>
    </font>
    <font>
      <sz val="10"/>
      <color rgb="FF000000"/>
      <name val="Aptos"/>
      <family val="2"/>
      <charset val="1"/>
    </font>
    <font>
      <sz val="10"/>
      <color theme="0"/>
      <name val="Aptos"/>
      <family val="2"/>
      <charset val="1"/>
    </font>
    <font>
      <sz val="10"/>
      <color theme="0"/>
      <name val="Arial"/>
      <family val="2"/>
    </font>
    <font>
      <i/>
      <sz val="11"/>
      <color rgb="FF000000"/>
      <name val="Aptos Narrow"/>
    </font>
    <font>
      <b/>
      <sz val="10"/>
      <color rgb="FF000000"/>
      <name val="Arial"/>
    </font>
    <font>
      <sz val="10"/>
      <color rgb="FF000000"/>
      <name val="Arial"/>
    </font>
    <font>
      <sz val="10"/>
      <color indexed="8"/>
      <name val="Calibri"/>
    </font>
    <font>
      <b/>
      <sz val="10"/>
      <color indexed="8"/>
      <name val="Calibri"/>
    </font>
    <font>
      <sz val="10"/>
      <color theme="1"/>
      <name val="Calibri"/>
    </font>
    <font>
      <b/>
      <sz val="8"/>
      <color indexed="8"/>
      <name val="Arial"/>
    </font>
    <font>
      <sz val="8"/>
      <color indexed="8"/>
      <name val="Arial"/>
    </font>
    <font>
      <sz val="9"/>
      <color indexed="8"/>
      <name val="Arial"/>
      <family val="2"/>
    </font>
    <font>
      <sz val="10"/>
      <color rgb="FF000000"/>
      <name val="Calibri"/>
    </font>
  </fonts>
  <fills count="33">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rgb="FF000000"/>
      </patternFill>
    </fill>
    <fill>
      <patternFill patternType="solid">
        <fgColor theme="4"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5"/>
        <bgColor indexed="64"/>
      </patternFill>
    </fill>
    <fill>
      <patternFill patternType="solid">
        <fgColor rgb="FFD9E0E8"/>
        <bgColor indexed="64"/>
      </patternFill>
    </fill>
    <fill>
      <patternFill patternType="solid">
        <fgColor rgb="FF45818E"/>
        <bgColor indexed="64"/>
      </patternFill>
    </fill>
    <fill>
      <patternFill patternType="solid">
        <fgColor rgb="FF6883A4"/>
        <bgColor indexed="64"/>
      </patternFill>
    </fill>
    <fill>
      <patternFill patternType="solid">
        <fgColor rgb="FFB7E1CD"/>
        <bgColor indexed="64"/>
      </patternFill>
    </fill>
    <fill>
      <patternFill patternType="solid">
        <fgColor rgb="FFEFEFEF"/>
        <bgColor indexed="64"/>
      </patternFill>
    </fill>
    <fill>
      <patternFill patternType="solid">
        <fgColor rgb="FFEA9999"/>
        <bgColor indexed="64"/>
      </patternFill>
    </fill>
    <fill>
      <patternFill patternType="solid">
        <fgColor theme="5" tint="0.59999389629810485"/>
        <bgColor indexed="64"/>
      </patternFill>
    </fill>
    <fill>
      <patternFill patternType="solid">
        <fgColor rgb="FF0070C0"/>
        <bgColor rgb="FF000000"/>
      </patternFill>
    </fill>
    <fill>
      <patternFill patternType="solid">
        <fgColor rgb="FF00B050"/>
        <bgColor rgb="FF000000"/>
      </patternFill>
    </fill>
    <fill>
      <patternFill patternType="solid">
        <fgColor theme="1"/>
        <bgColor indexed="64"/>
      </patternFill>
    </fill>
    <fill>
      <patternFill patternType="solid">
        <fgColor theme="0" tint="-0.34998626667073579"/>
        <bgColor indexed="64"/>
      </patternFill>
    </fill>
    <fill>
      <patternFill patternType="solid">
        <fgColor rgb="FFB5E6A2"/>
        <bgColor indexed="64"/>
      </patternFill>
    </fill>
    <fill>
      <patternFill patternType="solid">
        <fgColor rgb="FF66FFFF"/>
        <bgColor indexed="64"/>
      </patternFill>
    </fill>
    <fill>
      <patternFill patternType="solid">
        <fgColor theme="7" tint="0.39997558519241921"/>
        <bgColor indexed="64"/>
      </patternFill>
    </fill>
    <fill>
      <patternFill patternType="solid">
        <fgColor rgb="FFD9E0E8"/>
        <bgColor rgb="FF000000"/>
      </patternFill>
    </fill>
    <fill>
      <patternFill patternType="solid">
        <fgColor rgb="FF6883A4"/>
        <bgColor rgb="FF000000"/>
      </patternFill>
    </fill>
    <fill>
      <patternFill patternType="solid">
        <fgColor theme="3" tint="0.89999084444715716"/>
        <bgColor indexed="64"/>
      </patternFill>
    </fill>
    <fill>
      <patternFill patternType="solid">
        <fgColor theme="4"/>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bottom/>
      <diagonal/>
    </border>
    <border>
      <left/>
      <right style="medium">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FFFFFF"/>
      </bottom>
      <diagonal/>
    </border>
    <border>
      <left/>
      <right/>
      <top/>
      <bottom style="double">
        <color rgb="FF000000"/>
      </bottom>
      <diagonal/>
    </border>
    <border>
      <left/>
      <right style="thin">
        <color rgb="FF000000"/>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style="thin">
        <color indexed="64"/>
      </top>
      <bottom style="thin">
        <color indexed="64"/>
      </bottom>
      <diagonal/>
    </border>
    <border>
      <left/>
      <right/>
      <top/>
      <bottom style="medium">
        <color rgb="FFFFFFFF"/>
      </bottom>
      <diagonal/>
    </border>
    <border>
      <left/>
      <right/>
      <top style="thin">
        <color rgb="FF000000"/>
      </top>
      <bottom style="thin">
        <color rgb="FF000000"/>
      </bottom>
      <diagonal/>
    </border>
  </borders>
  <cellStyleXfs count="5">
    <xf numFmtId="0" fontId="0" fillId="0" borderId="0"/>
    <xf numFmtId="44" fontId="10" fillId="0" borderId="0" applyFont="0" applyFill="0" applyBorder="0" applyAlignment="0" applyProtection="0"/>
    <xf numFmtId="0" fontId="1" fillId="0" borderId="0"/>
    <xf numFmtId="44" fontId="1" fillId="0" borderId="0" applyFont="0" applyFill="0" applyBorder="0" applyAlignment="0" applyProtection="0"/>
    <xf numFmtId="43" fontId="10" fillId="0" borderId="0" applyFont="0" applyFill="0" applyBorder="0" applyAlignment="0" applyProtection="0"/>
  </cellStyleXfs>
  <cellXfs count="562">
    <xf numFmtId="0" fontId="0" fillId="0" borderId="0" xfId="0"/>
    <xf numFmtId="0" fontId="12"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vertical="center"/>
    </xf>
    <xf numFmtId="0" fontId="12" fillId="0" borderId="0" xfId="0" applyFont="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17" fontId="2" fillId="0" borderId="4" xfId="0" applyNumberFormat="1" applyFont="1" applyBorder="1" applyAlignment="1">
      <alignment horizontal="center" vertical="center"/>
    </xf>
    <xf numFmtId="17"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5" borderId="1" xfId="0" applyFont="1" applyFill="1" applyBorder="1" applyAlignment="1">
      <alignment vertical="center" wrapText="1"/>
    </xf>
    <xf numFmtId="3" fontId="2" fillId="0" borderId="1" xfId="0" applyNumberFormat="1" applyFont="1" applyBorder="1" applyAlignment="1">
      <alignment horizontal="center" vertical="center"/>
    </xf>
    <xf numFmtId="3" fontId="2" fillId="0" borderId="3" xfId="0" applyNumberFormat="1" applyFont="1" applyBorder="1" applyAlignment="1">
      <alignment horizontal="center" vertical="center"/>
    </xf>
    <xf numFmtId="3" fontId="2" fillId="0" borderId="4" xfId="0" applyNumberFormat="1" applyFont="1" applyBorder="1" applyAlignment="1">
      <alignment horizontal="center" vertical="center"/>
    </xf>
    <xf numFmtId="3" fontId="2" fillId="0" borderId="1" xfId="0" applyNumberFormat="1" applyFont="1" applyBorder="1" applyAlignment="1">
      <alignment vertical="center"/>
    </xf>
    <xf numFmtId="3" fontId="12" fillId="0" borderId="1" xfId="0" applyNumberFormat="1" applyFont="1" applyBorder="1" applyAlignment="1">
      <alignmen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164" fontId="12" fillId="3" borderId="1" xfId="1" applyNumberFormat="1" applyFont="1" applyFill="1" applyBorder="1" applyAlignment="1">
      <alignment vertical="center"/>
    </xf>
    <xf numFmtId="164" fontId="12" fillId="3" borderId="1" xfId="1" applyNumberFormat="1" applyFont="1" applyFill="1" applyBorder="1" applyAlignment="1">
      <alignment horizontal="right" vertical="center"/>
    </xf>
    <xf numFmtId="164" fontId="12" fillId="3" borderId="3" xfId="1" applyNumberFormat="1" applyFont="1" applyFill="1" applyBorder="1" applyAlignment="1">
      <alignment horizontal="right" vertical="center"/>
    </xf>
    <xf numFmtId="3" fontId="12" fillId="3" borderId="1" xfId="0" applyNumberFormat="1" applyFont="1" applyFill="1" applyBorder="1" applyAlignment="1">
      <alignment vertical="center"/>
    </xf>
    <xf numFmtId="164" fontId="12" fillId="3" borderId="3" xfId="1" applyNumberFormat="1" applyFont="1" applyFill="1" applyBorder="1" applyAlignment="1">
      <alignment vertical="center"/>
    </xf>
    <xf numFmtId="164" fontId="12" fillId="3" borderId="4" xfId="1" applyNumberFormat="1" applyFont="1" applyFill="1" applyBorder="1" applyAlignment="1">
      <alignment vertical="center"/>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164" fontId="12" fillId="4" borderId="1" xfId="1" applyNumberFormat="1" applyFont="1" applyFill="1" applyBorder="1" applyAlignment="1">
      <alignment horizontal="right" vertical="center"/>
    </xf>
    <xf numFmtId="164" fontId="12" fillId="4" borderId="3" xfId="1" applyNumberFormat="1" applyFont="1" applyFill="1" applyBorder="1" applyAlignment="1">
      <alignment horizontal="right" vertical="center"/>
    </xf>
    <xf numFmtId="3" fontId="12" fillId="4" borderId="1" xfId="0" applyNumberFormat="1" applyFont="1" applyFill="1" applyBorder="1" applyAlignment="1">
      <alignment vertical="center"/>
    </xf>
    <xf numFmtId="165" fontId="12" fillId="4" borderId="1" xfId="0" applyNumberFormat="1" applyFont="1" applyFill="1" applyBorder="1" applyAlignment="1">
      <alignment vertical="center"/>
    </xf>
    <xf numFmtId="165" fontId="12" fillId="4" borderId="1" xfId="1" applyNumberFormat="1" applyFont="1" applyFill="1" applyBorder="1" applyAlignment="1">
      <alignment horizontal="right" vertical="center"/>
    </xf>
    <xf numFmtId="164" fontId="12" fillId="4" borderId="1" xfId="1" applyNumberFormat="1" applyFont="1" applyFill="1" applyBorder="1" applyAlignment="1">
      <alignment vertical="center"/>
    </xf>
    <xf numFmtId="0" fontId="2" fillId="3" borderId="0" xfId="0" applyFont="1" applyFill="1" applyAlignment="1">
      <alignment horizontal="left" vertical="center" wrapText="1"/>
    </xf>
    <xf numFmtId="164" fontId="2" fillId="3" borderId="0" xfId="1" applyNumberFormat="1" applyFont="1" applyFill="1" applyBorder="1" applyAlignment="1">
      <alignment horizontal="right"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164" fontId="12" fillId="5" borderId="1" xfId="1" applyNumberFormat="1" applyFont="1" applyFill="1" applyBorder="1" applyAlignment="1">
      <alignment vertical="center"/>
    </xf>
    <xf numFmtId="164" fontId="12" fillId="5" borderId="1" xfId="1" applyNumberFormat="1" applyFont="1" applyFill="1" applyBorder="1" applyAlignment="1">
      <alignment horizontal="right" vertical="center"/>
    </xf>
    <xf numFmtId="164" fontId="12" fillId="5" borderId="3" xfId="1" applyNumberFormat="1" applyFont="1" applyFill="1" applyBorder="1" applyAlignment="1">
      <alignment horizontal="right" vertical="center"/>
    </xf>
    <xf numFmtId="164" fontId="12" fillId="5" borderId="4" xfId="1" applyNumberFormat="1" applyFont="1" applyFill="1" applyBorder="1" applyAlignment="1">
      <alignment horizontal="right" vertical="center"/>
    </xf>
    <xf numFmtId="3" fontId="12" fillId="5" borderId="1" xfId="0" applyNumberFormat="1" applyFont="1" applyFill="1" applyBorder="1" applyAlignment="1">
      <alignment vertical="center"/>
    </xf>
    <xf numFmtId="0" fontId="12" fillId="5" borderId="0" xfId="0" applyFont="1" applyFill="1" applyAlignment="1">
      <alignment vertical="center"/>
    </xf>
    <xf numFmtId="164" fontId="12" fillId="5" borderId="4" xfId="1" applyNumberFormat="1" applyFont="1" applyFill="1" applyBorder="1" applyAlignment="1">
      <alignment vertical="center"/>
    </xf>
    <xf numFmtId="164" fontId="2" fillId="5" borderId="0" xfId="1" applyNumberFormat="1" applyFont="1" applyFill="1" applyBorder="1" applyAlignment="1">
      <alignment horizontal="right" vertical="center"/>
    </xf>
    <xf numFmtId="0" fontId="13" fillId="2" borderId="1" xfId="0" applyFont="1" applyFill="1" applyBorder="1" applyAlignment="1">
      <alignment horizontal="left" vertical="center" wrapText="1"/>
    </xf>
    <xf numFmtId="0" fontId="13" fillId="2" borderId="1" xfId="0" applyFont="1" applyFill="1" applyBorder="1" applyAlignment="1">
      <alignment horizontal="left" vertical="center"/>
    </xf>
    <xf numFmtId="164" fontId="14" fillId="2" borderId="1" xfId="1" applyNumberFormat="1" applyFont="1" applyFill="1" applyBorder="1" applyAlignment="1">
      <alignment horizontal="right" vertical="center"/>
    </xf>
    <xf numFmtId="164" fontId="14" fillId="2" borderId="1" xfId="1" applyNumberFormat="1" applyFont="1" applyFill="1" applyBorder="1" applyAlignment="1">
      <alignment vertical="center"/>
    </xf>
    <xf numFmtId="164" fontId="14" fillId="2" borderId="3" xfId="1" applyNumberFormat="1" applyFont="1" applyFill="1" applyBorder="1" applyAlignment="1">
      <alignment vertical="center"/>
    </xf>
    <xf numFmtId="164" fontId="14" fillId="2" borderId="4" xfId="1" applyNumberFormat="1" applyFont="1" applyFill="1" applyBorder="1" applyAlignment="1">
      <alignment vertical="center"/>
    </xf>
    <xf numFmtId="3" fontId="14" fillId="2" borderId="1" xfId="0" applyNumberFormat="1" applyFont="1" applyFill="1" applyBorder="1" applyAlignment="1">
      <alignment vertical="center"/>
    </xf>
    <xf numFmtId="0" fontId="13" fillId="2" borderId="6" xfId="0" applyFont="1" applyFill="1" applyBorder="1" applyAlignment="1">
      <alignment horizontal="left" vertical="center" wrapText="1"/>
    </xf>
    <xf numFmtId="0" fontId="13" fillId="2" borderId="6" xfId="0" applyFont="1" applyFill="1" applyBorder="1" applyAlignment="1">
      <alignment horizontal="left" vertical="center"/>
    </xf>
    <xf numFmtId="164" fontId="14" fillId="2" borderId="6" xfId="1" applyNumberFormat="1" applyFont="1" applyFill="1" applyBorder="1" applyAlignment="1">
      <alignment horizontal="right" vertical="center"/>
    </xf>
    <xf numFmtId="164" fontId="14" fillId="2" borderId="6" xfId="1" applyNumberFormat="1" applyFont="1" applyFill="1" applyBorder="1" applyAlignment="1">
      <alignment vertical="center"/>
    </xf>
    <xf numFmtId="164" fontId="14" fillId="2" borderId="2" xfId="1" applyNumberFormat="1" applyFont="1" applyFill="1" applyBorder="1" applyAlignment="1">
      <alignment vertical="center"/>
    </xf>
    <xf numFmtId="164" fontId="14" fillId="2" borderId="7" xfId="1" applyNumberFormat="1" applyFont="1" applyFill="1" applyBorder="1" applyAlignment="1">
      <alignment vertical="center"/>
    </xf>
    <xf numFmtId="3" fontId="14" fillId="2" borderId="6" xfId="0" applyNumberFormat="1" applyFont="1" applyFill="1" applyBorder="1" applyAlignment="1">
      <alignment vertical="center"/>
    </xf>
    <xf numFmtId="0" fontId="13" fillId="2" borderId="5" xfId="0" applyFont="1" applyFill="1" applyBorder="1" applyAlignment="1">
      <alignment horizontal="left" vertical="center" wrapText="1"/>
    </xf>
    <xf numFmtId="0" fontId="13" fillId="2" borderId="5" xfId="0" applyFont="1" applyFill="1" applyBorder="1" applyAlignment="1">
      <alignment horizontal="left" vertical="center"/>
    </xf>
    <xf numFmtId="164" fontId="14" fillId="2" borderId="5" xfId="1" applyNumberFormat="1" applyFont="1" applyFill="1" applyBorder="1" applyAlignment="1">
      <alignment horizontal="right" vertical="center"/>
    </xf>
    <xf numFmtId="164" fontId="14" fillId="2" borderId="5" xfId="1" applyNumberFormat="1" applyFont="1" applyFill="1" applyBorder="1" applyAlignment="1">
      <alignment vertical="center"/>
    </xf>
    <xf numFmtId="164" fontId="14" fillId="2" borderId="8" xfId="1" applyNumberFormat="1" applyFont="1" applyFill="1" applyBorder="1" applyAlignment="1">
      <alignment vertical="center"/>
    </xf>
    <xf numFmtId="164" fontId="14" fillId="2" borderId="9" xfId="1" applyNumberFormat="1" applyFont="1" applyFill="1" applyBorder="1" applyAlignment="1">
      <alignment vertical="center"/>
    </xf>
    <xf numFmtId="3" fontId="14" fillId="2" borderId="5" xfId="0" applyNumberFormat="1" applyFont="1" applyFill="1" applyBorder="1" applyAlignment="1">
      <alignment vertical="center"/>
    </xf>
    <xf numFmtId="0" fontId="12" fillId="2" borderId="5" xfId="0" applyFont="1" applyFill="1" applyBorder="1" applyAlignment="1">
      <alignment vertical="center"/>
    </xf>
    <xf numFmtId="164" fontId="12" fillId="2" borderId="5" xfId="0" applyNumberFormat="1" applyFont="1" applyFill="1" applyBorder="1" applyAlignment="1">
      <alignment vertical="center"/>
    </xf>
    <xf numFmtId="164" fontId="12" fillId="2" borderId="8" xfId="0" applyNumberFormat="1" applyFont="1" applyFill="1" applyBorder="1" applyAlignment="1">
      <alignment vertical="center"/>
    </xf>
    <xf numFmtId="164" fontId="12" fillId="2" borderId="9" xfId="0" applyNumberFormat="1" applyFont="1" applyFill="1" applyBorder="1" applyAlignment="1">
      <alignment vertical="center"/>
    </xf>
    <xf numFmtId="0" fontId="11" fillId="7" borderId="0" xfId="0" applyFont="1" applyFill="1" applyAlignment="1">
      <alignment vertical="center"/>
    </xf>
    <xf numFmtId="0" fontId="12" fillId="7" borderId="0" xfId="0" applyFont="1" applyFill="1" applyAlignment="1">
      <alignment vertical="center"/>
    </xf>
    <xf numFmtId="164" fontId="2" fillId="7" borderId="0" xfId="1" applyNumberFormat="1" applyFont="1" applyFill="1" applyBorder="1" applyAlignment="1">
      <alignment horizontal="right" vertical="center"/>
    </xf>
    <xf numFmtId="0" fontId="0" fillId="6" borderId="0" xfId="0" applyFill="1" applyAlignment="1">
      <alignment vertical="center"/>
    </xf>
    <xf numFmtId="0" fontId="7" fillId="6" borderId="0" xfId="0" applyFont="1" applyFill="1" applyAlignment="1">
      <alignment horizontal="left" vertical="center" wrapText="1"/>
    </xf>
    <xf numFmtId="164" fontId="6" fillId="6" borderId="0" xfId="1" applyNumberFormat="1" applyFont="1" applyFill="1" applyAlignment="1">
      <alignment vertical="center"/>
    </xf>
    <xf numFmtId="3" fontId="6" fillId="6" borderId="0" xfId="0" applyNumberFormat="1" applyFont="1" applyFill="1" applyAlignment="1">
      <alignment vertical="center"/>
    </xf>
    <xf numFmtId="3" fontId="9" fillId="0" borderId="0" xfId="0" applyNumberFormat="1" applyFont="1" applyAlignment="1">
      <alignment vertical="center"/>
    </xf>
    <xf numFmtId="164" fontId="9" fillId="0" borderId="0" xfId="1" applyNumberFormat="1" applyFont="1" applyAlignment="1">
      <alignment vertical="center"/>
    </xf>
    <xf numFmtId="0" fontId="5" fillId="5" borderId="1" xfId="0" applyFont="1" applyFill="1" applyBorder="1" applyAlignment="1">
      <alignment vertical="center" wrapText="1"/>
    </xf>
    <xf numFmtId="0" fontId="5" fillId="5" borderId="1" xfId="0" applyFont="1" applyFill="1" applyBorder="1" applyAlignment="1">
      <alignment vertical="center"/>
    </xf>
    <xf numFmtId="164" fontId="9" fillId="0" borderId="1" xfId="1" applyNumberFormat="1" applyFont="1" applyBorder="1" applyAlignment="1">
      <alignment horizontal="right" vertical="center"/>
    </xf>
    <xf numFmtId="164" fontId="9" fillId="0" borderId="1" xfId="1" applyNumberFormat="1" applyFont="1" applyBorder="1" applyAlignment="1">
      <alignment vertical="center"/>
    </xf>
    <xf numFmtId="3" fontId="9" fillId="0" borderId="1" xfId="0" applyNumberFormat="1" applyFont="1" applyBorder="1" applyAlignment="1">
      <alignment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164" fontId="6" fillId="3" borderId="1" xfId="1" applyNumberFormat="1" applyFont="1" applyFill="1" applyBorder="1" applyAlignment="1">
      <alignment horizontal="right" vertical="center"/>
    </xf>
    <xf numFmtId="164" fontId="6" fillId="3" borderId="1" xfId="1" applyNumberFormat="1" applyFont="1" applyFill="1" applyBorder="1" applyAlignment="1">
      <alignment vertical="center"/>
    </xf>
    <xf numFmtId="3" fontId="6" fillId="3" borderId="1" xfId="0" applyNumberFormat="1" applyFont="1" applyFill="1" applyBorder="1" applyAlignment="1">
      <alignment vertical="center"/>
    </xf>
    <xf numFmtId="3" fontId="6" fillId="0" borderId="0" xfId="0" applyNumberFormat="1" applyFont="1" applyAlignment="1">
      <alignment vertical="center"/>
    </xf>
    <xf numFmtId="0" fontId="5" fillId="4" borderId="1" xfId="0" applyFont="1" applyFill="1" applyBorder="1" applyAlignment="1">
      <alignment horizontal="left" vertical="center" wrapText="1"/>
    </xf>
    <xf numFmtId="0" fontId="5" fillId="4" borderId="1" xfId="0" applyFont="1" applyFill="1" applyBorder="1" applyAlignment="1">
      <alignment horizontal="left" vertical="center"/>
    </xf>
    <xf numFmtId="164" fontId="6" fillId="4" borderId="1" xfId="1" applyNumberFormat="1" applyFont="1" applyFill="1" applyBorder="1" applyAlignment="1">
      <alignment horizontal="right" vertical="center"/>
    </xf>
    <xf numFmtId="3" fontId="6" fillId="4" borderId="1" xfId="0" applyNumberFormat="1" applyFont="1" applyFill="1" applyBorder="1" applyAlignment="1">
      <alignment vertical="center"/>
    </xf>
    <xf numFmtId="164" fontId="6" fillId="4" borderId="1" xfId="1" applyNumberFormat="1" applyFont="1" applyFill="1" applyBorder="1" applyAlignment="1">
      <alignment vertical="center"/>
    </xf>
    <xf numFmtId="164" fontId="8" fillId="6" borderId="0" xfId="1" applyNumberFormat="1" applyFont="1" applyFill="1" applyAlignment="1">
      <alignment horizontal="right" vertical="center"/>
    </xf>
    <xf numFmtId="3" fontId="9" fillId="6" borderId="0" xfId="0" applyNumberFormat="1" applyFont="1" applyFill="1" applyAlignment="1">
      <alignment vertical="center"/>
    </xf>
    <xf numFmtId="0" fontId="4" fillId="0" borderId="0" xfId="0" applyFont="1" applyAlignment="1">
      <alignment horizontal="left" vertical="center" wrapText="1"/>
    </xf>
    <xf numFmtId="164" fontId="9" fillId="0" borderId="0" xfId="1" applyNumberFormat="1" applyFont="1" applyAlignment="1">
      <alignment horizontal="right" vertical="center"/>
    </xf>
    <xf numFmtId="0" fontId="2" fillId="6" borderId="0" xfId="0" applyFont="1" applyFill="1" applyAlignment="1">
      <alignment horizontal="left" vertical="center" wrapText="1"/>
    </xf>
    <xf numFmtId="0" fontId="4" fillId="5"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5" xfId="0" applyFont="1" applyFill="1" applyBorder="1" applyAlignment="1">
      <alignment horizontal="left" vertical="center" wrapText="1"/>
    </xf>
    <xf numFmtId="165" fontId="12" fillId="3" borderId="1" xfId="1" applyNumberFormat="1" applyFont="1" applyFill="1" applyBorder="1" applyAlignment="1">
      <alignment vertical="center"/>
    </xf>
    <xf numFmtId="165" fontId="12" fillId="3" borderId="1" xfId="1" applyNumberFormat="1" applyFont="1" applyFill="1" applyBorder="1" applyAlignment="1">
      <alignment horizontal="right" vertical="center"/>
    </xf>
    <xf numFmtId="165" fontId="12" fillId="4" borderId="3" xfId="1" applyNumberFormat="1" applyFont="1" applyFill="1" applyBorder="1" applyAlignment="1">
      <alignment horizontal="right" vertical="center"/>
    </xf>
    <xf numFmtId="164" fontId="2" fillId="5" borderId="12" xfId="1" applyNumberFormat="1" applyFont="1" applyFill="1" applyBorder="1" applyAlignment="1">
      <alignment horizontal="right" vertical="center"/>
    </xf>
    <xf numFmtId="164" fontId="12" fillId="5" borderId="5" xfId="1" applyNumberFormat="1" applyFont="1" applyFill="1" applyBorder="1" applyAlignment="1">
      <alignment horizontal="right" vertical="center"/>
    </xf>
    <xf numFmtId="164" fontId="12" fillId="5" borderId="5" xfId="1" applyNumberFormat="1" applyFont="1" applyFill="1" applyBorder="1" applyAlignment="1">
      <alignment vertical="center"/>
    </xf>
    <xf numFmtId="164" fontId="2" fillId="5" borderId="5" xfId="1" applyNumberFormat="1" applyFont="1" applyFill="1" applyBorder="1" applyAlignment="1">
      <alignment horizontal="right" vertical="center"/>
    </xf>
    <xf numFmtId="164" fontId="2" fillId="5" borderId="13" xfId="1" applyNumberFormat="1" applyFont="1" applyFill="1" applyBorder="1" applyAlignment="1">
      <alignment horizontal="right" vertical="center"/>
    </xf>
    <xf numFmtId="164" fontId="12" fillId="5" borderId="11" xfId="1" applyNumberFormat="1" applyFont="1" applyFill="1" applyBorder="1" applyAlignment="1">
      <alignment vertical="center"/>
    </xf>
    <xf numFmtId="17" fontId="2" fillId="0" borderId="5" xfId="0" applyNumberFormat="1" applyFont="1" applyBorder="1" applyAlignment="1">
      <alignment horizontal="center" vertical="center" wrapText="1"/>
    </xf>
    <xf numFmtId="3" fontId="2" fillId="0" borderId="5" xfId="0" applyNumberFormat="1" applyFont="1" applyBorder="1" applyAlignment="1">
      <alignment horizontal="center" vertical="center"/>
    </xf>
    <xf numFmtId="164" fontId="12" fillId="3" borderId="5" xfId="1" applyNumberFormat="1" applyFont="1" applyFill="1" applyBorder="1" applyAlignment="1">
      <alignment vertical="center"/>
    </xf>
    <xf numFmtId="164" fontId="12" fillId="3" borderId="5" xfId="1" applyNumberFormat="1" applyFont="1" applyFill="1" applyBorder="1" applyAlignment="1">
      <alignment horizontal="right" vertical="center"/>
    </xf>
    <xf numFmtId="164" fontId="12" fillId="4" borderId="5" xfId="1" applyNumberFormat="1" applyFont="1" applyFill="1" applyBorder="1" applyAlignment="1">
      <alignment horizontal="right" vertical="center"/>
    </xf>
    <xf numFmtId="165" fontId="12" fillId="4" borderId="5" xfId="1" applyNumberFormat="1" applyFont="1" applyFill="1" applyBorder="1" applyAlignment="1">
      <alignment horizontal="right" vertical="center"/>
    </xf>
    <xf numFmtId="164" fontId="12" fillId="3" borderId="4" xfId="1" applyNumberFormat="1" applyFont="1" applyFill="1" applyBorder="1" applyAlignment="1">
      <alignment horizontal="center" vertical="center"/>
    </xf>
    <xf numFmtId="164" fontId="12" fillId="4" borderId="4" xfId="1" applyNumberFormat="1" applyFont="1" applyFill="1" applyBorder="1" applyAlignment="1">
      <alignment horizontal="center" vertical="center"/>
    </xf>
    <xf numFmtId="165" fontId="12" fillId="4" borderId="4" xfId="1" applyNumberFormat="1" applyFont="1" applyFill="1" applyBorder="1" applyAlignment="1">
      <alignment horizontal="right" vertical="center"/>
    </xf>
    <xf numFmtId="0" fontId="12" fillId="3" borderId="1" xfId="0" applyFont="1" applyFill="1" applyBorder="1" applyAlignment="1">
      <alignment horizontal="left" vertical="center" wrapText="1"/>
    </xf>
    <xf numFmtId="17" fontId="12" fillId="0" borderId="1" xfId="0" applyNumberFormat="1" applyFont="1" applyBorder="1" applyAlignment="1">
      <alignment horizontal="center" vertical="center" wrapText="1"/>
    </xf>
    <xf numFmtId="17"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6" fillId="0" borderId="0" xfId="0" applyFont="1" applyAlignment="1">
      <alignment vertical="center"/>
    </xf>
    <xf numFmtId="164" fontId="12" fillId="0" borderId="1" xfId="1" applyNumberFormat="1" applyFont="1" applyFill="1" applyBorder="1" applyAlignment="1">
      <alignment horizontal="right" vertical="center"/>
    </xf>
    <xf numFmtId="164" fontId="12" fillId="0" borderId="1" xfId="1" applyNumberFormat="1" applyFont="1" applyFill="1" applyBorder="1" applyAlignment="1">
      <alignment vertical="center"/>
    </xf>
    <xf numFmtId="0" fontId="24" fillId="16" borderId="16" xfId="0" applyFont="1" applyFill="1" applyBorder="1" applyAlignment="1">
      <alignment readingOrder="1"/>
    </xf>
    <xf numFmtId="0" fontId="24" fillId="17" borderId="16" xfId="0" applyFont="1" applyFill="1" applyBorder="1" applyAlignment="1">
      <alignment readingOrder="1"/>
    </xf>
    <xf numFmtId="0" fontId="24" fillId="16" borderId="0" xfId="0" applyFont="1" applyFill="1" applyAlignment="1">
      <alignment readingOrder="1"/>
    </xf>
    <xf numFmtId="0" fontId="25" fillId="15" borderId="16" xfId="0" applyFont="1" applyFill="1" applyBorder="1" applyAlignment="1">
      <alignment readingOrder="1"/>
    </xf>
    <xf numFmtId="6" fontId="25" fillId="15" borderId="16" xfId="0" applyNumberFormat="1" applyFont="1" applyFill="1" applyBorder="1" applyAlignment="1">
      <alignment readingOrder="1"/>
    </xf>
    <xf numFmtId="6" fontId="25" fillId="18" borderId="16" xfId="0" applyNumberFormat="1" applyFont="1" applyFill="1" applyBorder="1" applyAlignment="1">
      <alignment readingOrder="1"/>
    </xf>
    <xf numFmtId="0" fontId="25" fillId="0" borderId="0" xfId="0" applyFont="1" applyAlignment="1">
      <alignment readingOrder="1"/>
    </xf>
    <xf numFmtId="6" fontId="25" fillId="0" borderId="0" xfId="0" applyNumberFormat="1" applyFont="1" applyAlignment="1">
      <alignment readingOrder="1"/>
    </xf>
    <xf numFmtId="6" fontId="25" fillId="19" borderId="16" xfId="0" applyNumberFormat="1" applyFont="1" applyFill="1" applyBorder="1" applyAlignment="1">
      <alignment readingOrder="1"/>
    </xf>
    <xf numFmtId="6" fontId="25" fillId="20" borderId="16" xfId="0" applyNumberFormat="1" applyFont="1" applyFill="1" applyBorder="1" applyAlignment="1">
      <alignment readingOrder="1"/>
    </xf>
    <xf numFmtId="0" fontId="25" fillId="15" borderId="17" xfId="0" applyFont="1" applyFill="1" applyBorder="1" applyAlignment="1">
      <alignment readingOrder="1"/>
    </xf>
    <xf numFmtId="6" fontId="25" fillId="15" borderId="17" xfId="0" applyNumberFormat="1" applyFont="1" applyFill="1" applyBorder="1" applyAlignment="1">
      <alignment readingOrder="1"/>
    </xf>
    <xf numFmtId="6" fontId="25" fillId="18" borderId="17" xfId="0" applyNumberFormat="1" applyFont="1" applyFill="1" applyBorder="1" applyAlignment="1">
      <alignment readingOrder="1"/>
    </xf>
    <xf numFmtId="0" fontId="26" fillId="15" borderId="0" xfId="0" applyFont="1" applyFill="1" applyAlignment="1">
      <alignment readingOrder="1"/>
    </xf>
    <xf numFmtId="6" fontId="26" fillId="15" borderId="0" xfId="0" applyNumberFormat="1" applyFont="1" applyFill="1" applyAlignment="1">
      <alignment readingOrder="1"/>
    </xf>
    <xf numFmtId="6" fontId="26" fillId="18" borderId="0" xfId="0" applyNumberFormat="1" applyFont="1" applyFill="1" applyAlignment="1">
      <alignment readingOrder="1"/>
    </xf>
    <xf numFmtId="0" fontId="23" fillId="15" borderId="16" xfId="0" applyFont="1" applyFill="1" applyBorder="1" applyAlignment="1">
      <alignment wrapText="1" readingOrder="1"/>
    </xf>
    <xf numFmtId="0" fontId="25" fillId="15" borderId="16" xfId="0" applyFont="1" applyFill="1" applyBorder="1" applyAlignment="1">
      <alignment wrapText="1" readingOrder="1"/>
    </xf>
    <xf numFmtId="0" fontId="25" fillId="15" borderId="17" xfId="0" applyFont="1" applyFill="1" applyBorder="1" applyAlignment="1">
      <alignment wrapText="1" readingOrder="1"/>
    </xf>
    <xf numFmtId="0" fontId="26" fillId="15" borderId="0" xfId="0" applyFont="1" applyFill="1" applyAlignment="1">
      <alignment wrapText="1" readingOrder="1"/>
    </xf>
    <xf numFmtId="0" fontId="16" fillId="0" borderId="0" xfId="0" applyFont="1"/>
    <xf numFmtId="0" fontId="28" fillId="22" borderId="0" xfId="0" applyFont="1" applyFill="1" applyAlignment="1">
      <alignment wrapText="1"/>
    </xf>
    <xf numFmtId="0" fontId="28" fillId="22" borderId="0" xfId="0" applyFont="1" applyFill="1"/>
    <xf numFmtId="165" fontId="30" fillId="3" borderId="1" xfId="1" applyNumberFormat="1" applyFont="1" applyFill="1" applyBorder="1" applyAlignment="1">
      <alignment horizontal="right" vertical="center"/>
    </xf>
    <xf numFmtId="0" fontId="0" fillId="0" borderId="0" xfId="0" applyAlignment="1">
      <alignment wrapText="1"/>
    </xf>
    <xf numFmtId="0" fontId="0" fillId="0" borderId="9" xfId="0" applyBorder="1"/>
    <xf numFmtId="0" fontId="33" fillId="0" borderId="0" xfId="0" applyFont="1"/>
    <xf numFmtId="165" fontId="12" fillId="0" borderId="1" xfId="1" applyNumberFormat="1" applyFont="1" applyBorder="1" applyAlignment="1">
      <alignment horizontal="right" vertical="center"/>
    </xf>
    <xf numFmtId="17" fontId="12" fillId="12" borderId="1" xfId="0" applyNumberFormat="1" applyFont="1" applyFill="1" applyBorder="1" applyAlignment="1">
      <alignment horizontal="center" vertical="center"/>
    </xf>
    <xf numFmtId="17" fontId="12" fillId="13" borderId="1" xfId="0" applyNumberFormat="1" applyFont="1" applyFill="1" applyBorder="1" applyAlignment="1">
      <alignment horizontal="center" vertical="center"/>
    </xf>
    <xf numFmtId="164" fontId="0" fillId="0" borderId="0" xfId="0" applyNumberFormat="1"/>
    <xf numFmtId="0" fontId="6" fillId="24" borderId="0" xfId="0" applyFont="1" applyFill="1" applyAlignment="1">
      <alignment vertical="center"/>
    </xf>
    <xf numFmtId="0" fontId="0" fillId="24" borderId="0" xfId="0" applyFill="1"/>
    <xf numFmtId="44" fontId="6" fillId="24" borderId="0" xfId="0" applyNumberFormat="1" applyFont="1" applyFill="1" applyAlignment="1">
      <alignment vertical="center"/>
    </xf>
    <xf numFmtId="0" fontId="37" fillId="2" borderId="0" xfId="0" applyFont="1" applyFill="1" applyAlignment="1">
      <alignment vertical="center"/>
    </xf>
    <xf numFmtId="0" fontId="0" fillId="0" borderId="5" xfId="0" applyBorder="1" applyAlignment="1">
      <alignment vertical="center"/>
    </xf>
    <xf numFmtId="0" fontId="0" fillId="0" borderId="5" xfId="0" applyBorder="1"/>
    <xf numFmtId="0" fontId="12" fillId="0" borderId="6" xfId="0" applyFont="1" applyBorder="1" applyAlignment="1">
      <alignment horizontal="left" vertical="center"/>
    </xf>
    <xf numFmtId="164" fontId="12" fillId="0" borderId="6" xfId="1" applyNumberFormat="1" applyFont="1" applyFill="1" applyBorder="1" applyAlignment="1">
      <alignment horizontal="right" vertical="center"/>
    </xf>
    <xf numFmtId="164" fontId="12" fillId="0" borderId="6" xfId="1" applyNumberFormat="1" applyFont="1" applyFill="1" applyBorder="1" applyAlignment="1">
      <alignment vertical="center"/>
    </xf>
    <xf numFmtId="0" fontId="12" fillId="0" borderId="5" xfId="0" applyFont="1" applyBorder="1" applyAlignment="1">
      <alignment horizontal="left" vertical="center"/>
    </xf>
    <xf numFmtId="0" fontId="0" fillId="0" borderId="8" xfId="0" applyBorder="1" applyAlignment="1">
      <alignment vertical="center"/>
    </xf>
    <xf numFmtId="164" fontId="12" fillId="0" borderId="5" xfId="1" applyNumberFormat="1" applyFont="1" applyFill="1" applyBorder="1" applyAlignment="1">
      <alignment horizontal="right" vertical="center"/>
    </xf>
    <xf numFmtId="164" fontId="12" fillId="0" borderId="8" xfId="1" applyNumberFormat="1" applyFont="1" applyFill="1" applyBorder="1" applyAlignment="1">
      <alignment horizontal="right" vertical="center"/>
    </xf>
    <xf numFmtId="164" fontId="12" fillId="0" borderId="9" xfId="1" applyNumberFormat="1" applyFont="1" applyFill="1" applyBorder="1" applyAlignment="1">
      <alignment horizontal="right" vertical="center"/>
    </xf>
    <xf numFmtId="0" fontId="0" fillId="0" borderId="0" xfId="0" applyAlignment="1">
      <alignment horizontal="center"/>
    </xf>
    <xf numFmtId="3" fontId="12" fillId="0" borderId="1" xfId="0" applyNumberFormat="1" applyFont="1" applyBorder="1" applyAlignment="1">
      <alignment horizontal="center" vertical="center"/>
    </xf>
    <xf numFmtId="0" fontId="0" fillId="0" borderId="0" xfId="0" applyAlignment="1">
      <alignment horizontal="center" vertical="center"/>
    </xf>
    <xf numFmtId="0" fontId="0" fillId="24" borderId="0" xfId="0" applyFill="1" applyAlignment="1">
      <alignment horizontal="center" vertical="center"/>
    </xf>
    <xf numFmtId="3" fontId="12" fillId="0" borderId="6" xfId="0" applyNumberFormat="1" applyFont="1" applyBorder="1" applyAlignment="1">
      <alignment horizontal="center" vertical="center"/>
    </xf>
    <xf numFmtId="3" fontId="12" fillId="0" borderId="5" xfId="0" applyNumberFormat="1" applyFont="1" applyBorder="1" applyAlignment="1">
      <alignment horizontal="center" vertical="center"/>
    </xf>
    <xf numFmtId="0" fontId="2" fillId="0" borderId="0" xfId="0" applyFont="1" applyAlignment="1">
      <alignment vertical="center" wrapText="1"/>
    </xf>
    <xf numFmtId="0" fontId="2" fillId="0" borderId="0" xfId="0" applyFont="1" applyAlignment="1">
      <alignment wrapText="1"/>
    </xf>
    <xf numFmtId="3" fontId="2" fillId="0" borderId="1" xfId="0" applyNumberFormat="1" applyFont="1" applyBorder="1" applyAlignment="1">
      <alignment vertical="center" wrapText="1"/>
    </xf>
    <xf numFmtId="0" fontId="2" fillId="24" borderId="0" xfId="0" applyFont="1" applyFill="1" applyAlignment="1">
      <alignment vertical="center" wrapText="1"/>
    </xf>
    <xf numFmtId="3" fontId="2" fillId="0" borderId="6" xfId="0" applyNumberFormat="1" applyFont="1" applyBorder="1" applyAlignment="1">
      <alignment vertical="center" wrapText="1"/>
    </xf>
    <xf numFmtId="3" fontId="2" fillId="0" borderId="5" xfId="0" applyNumberFormat="1" applyFont="1" applyBorder="1" applyAlignment="1">
      <alignment vertical="center" wrapText="1"/>
    </xf>
    <xf numFmtId="0" fontId="40" fillId="0" borderId="0" xfId="0" applyFont="1"/>
    <xf numFmtId="0" fontId="41" fillId="27" borderId="0" xfId="0" applyFont="1" applyFill="1"/>
    <xf numFmtId="0" fontId="40" fillId="0" borderId="0" xfId="0" applyFont="1" applyAlignment="1">
      <alignment horizontal="left"/>
    </xf>
    <xf numFmtId="0" fontId="0" fillId="0" borderId="0" xfId="0" applyAlignment="1">
      <alignment horizontal="left"/>
    </xf>
    <xf numFmtId="0" fontId="41" fillId="3" borderId="0" xfId="0" applyFont="1" applyFill="1"/>
    <xf numFmtId="0" fontId="40" fillId="3" borderId="0" xfId="0" applyFont="1" applyFill="1"/>
    <xf numFmtId="0" fontId="41" fillId="21" borderId="0" xfId="0" applyFont="1" applyFill="1"/>
    <xf numFmtId="0" fontId="40" fillId="21" borderId="0" xfId="0" applyFont="1" applyFill="1"/>
    <xf numFmtId="14" fontId="40" fillId="0" borderId="0" xfId="0" applyNumberFormat="1" applyFont="1"/>
    <xf numFmtId="0" fontId="42" fillId="14" borderId="0" xfId="0" applyFont="1" applyFill="1"/>
    <xf numFmtId="14" fontId="40" fillId="2" borderId="0" xfId="0" applyNumberFormat="1" applyFont="1" applyFill="1"/>
    <xf numFmtId="0" fontId="43" fillId="0" borderId="0" xfId="0" applyFont="1"/>
    <xf numFmtId="0" fontId="44" fillId="0" borderId="0" xfId="0" applyFont="1"/>
    <xf numFmtId="0" fontId="0" fillId="0" borderId="9" xfId="0" applyBorder="1" applyAlignment="1">
      <alignment vertical="center"/>
    </xf>
    <xf numFmtId="0" fontId="6" fillId="0" borderId="5" xfId="0" applyFont="1" applyBorder="1" applyAlignment="1">
      <alignment vertical="top"/>
    </xf>
    <xf numFmtId="0" fontId="5" fillId="0" borderId="5" xfId="0" applyFont="1" applyBorder="1" applyAlignment="1">
      <alignment vertical="top" wrapText="1"/>
    </xf>
    <xf numFmtId="0" fontId="6" fillId="0" borderId="5" xfId="0" applyFont="1" applyBorder="1" applyAlignment="1">
      <alignment horizontal="center" vertical="top"/>
    </xf>
    <xf numFmtId="0" fontId="12" fillId="0" borderId="5" xfId="0" applyFont="1" applyBorder="1" applyAlignment="1">
      <alignment horizontal="center" vertical="center"/>
    </xf>
    <xf numFmtId="0" fontId="12" fillId="0" borderId="5" xfId="0" applyFont="1" applyBorder="1" applyAlignment="1">
      <alignment vertical="center"/>
    </xf>
    <xf numFmtId="0" fontId="2" fillId="0" borderId="5" xfId="0" applyFont="1" applyBorder="1" applyAlignment="1">
      <alignment vertical="center" wrapText="1"/>
    </xf>
    <xf numFmtId="0" fontId="12" fillId="12" borderId="5" xfId="0" applyFont="1" applyFill="1" applyBorder="1" applyAlignment="1">
      <alignment horizontal="center" vertical="center"/>
    </xf>
    <xf numFmtId="165" fontId="12" fillId="0" borderId="5" xfId="1" applyNumberFormat="1" applyFont="1" applyFill="1" applyBorder="1" applyAlignment="1">
      <alignment vertical="center"/>
    </xf>
    <xf numFmtId="0" fontId="22" fillId="14" borderId="5" xfId="0" applyFont="1" applyFill="1" applyBorder="1" applyAlignment="1">
      <alignment horizontal="center" vertical="center"/>
    </xf>
    <xf numFmtId="0" fontId="12" fillId="13" borderId="5" xfId="0" applyFont="1" applyFill="1" applyBorder="1" applyAlignment="1">
      <alignment horizontal="center" vertical="center"/>
    </xf>
    <xf numFmtId="17" fontId="12" fillId="12" borderId="5" xfId="0" applyNumberFormat="1" applyFont="1" applyFill="1" applyBorder="1" applyAlignment="1">
      <alignment horizontal="center" vertical="center"/>
    </xf>
    <xf numFmtId="17" fontId="12" fillId="13" borderId="5" xfId="0" applyNumberFormat="1" applyFont="1" applyFill="1" applyBorder="1" applyAlignment="1">
      <alignment horizontal="center" vertical="center"/>
    </xf>
    <xf numFmtId="17" fontId="12" fillId="0" borderId="5" xfId="0" applyNumberFormat="1" applyFont="1" applyBorder="1" applyAlignment="1">
      <alignment horizontal="center" vertical="center"/>
    </xf>
    <xf numFmtId="0" fontId="2" fillId="5" borderId="5" xfId="0" applyFont="1" applyFill="1" applyBorder="1" applyAlignment="1">
      <alignment vertical="center"/>
    </xf>
    <xf numFmtId="0" fontId="12" fillId="5" borderId="5" xfId="0" applyFont="1" applyFill="1" applyBorder="1" applyAlignment="1">
      <alignment vertical="center"/>
    </xf>
    <xf numFmtId="0" fontId="2" fillId="5" borderId="5" xfId="0" applyFont="1" applyFill="1" applyBorder="1" applyAlignment="1">
      <alignment vertical="center" wrapText="1"/>
    </xf>
    <xf numFmtId="49" fontId="12" fillId="5" borderId="5" xfId="0" applyNumberFormat="1" applyFont="1" applyFill="1" applyBorder="1" applyAlignment="1">
      <alignment horizontal="center" vertical="center"/>
    </xf>
    <xf numFmtId="0" fontId="32" fillId="0" borderId="5" xfId="0" applyFont="1" applyBorder="1" applyAlignment="1">
      <alignment horizontal="left" vertical="center"/>
    </xf>
    <xf numFmtId="0" fontId="30" fillId="0" borderId="5" xfId="0" applyFont="1" applyBorder="1" applyAlignment="1">
      <alignment horizontal="left" vertical="center"/>
    </xf>
    <xf numFmtId="165" fontId="30" fillId="12" borderId="5" xfId="1" applyNumberFormat="1" applyFont="1" applyFill="1" applyBorder="1" applyAlignment="1">
      <alignment horizontal="right" vertical="center"/>
    </xf>
    <xf numFmtId="165" fontId="30" fillId="21" borderId="5" xfId="1" applyNumberFormat="1" applyFont="1" applyFill="1" applyBorder="1" applyAlignment="1">
      <alignment vertical="center"/>
    </xf>
    <xf numFmtId="165" fontId="30" fillId="13" borderId="5" xfId="1" applyNumberFormat="1" applyFont="1" applyFill="1" applyBorder="1" applyAlignment="1">
      <alignment horizontal="right" vertical="center"/>
    </xf>
    <xf numFmtId="165" fontId="12" fillId="21" borderId="5" xfId="1" applyNumberFormat="1" applyFont="1" applyFill="1" applyBorder="1" applyAlignment="1">
      <alignment vertical="center"/>
    </xf>
    <xf numFmtId="165" fontId="30" fillId="0" borderId="5" xfId="1" applyNumberFormat="1" applyFont="1" applyFill="1" applyBorder="1" applyAlignment="1">
      <alignment horizontal="right" vertical="center"/>
    </xf>
    <xf numFmtId="165" fontId="12" fillId="3" borderId="5" xfId="1" applyNumberFormat="1" applyFont="1" applyFill="1" applyBorder="1" applyAlignment="1">
      <alignment horizontal="right" vertical="center"/>
    </xf>
    <xf numFmtId="165" fontId="30" fillId="21" borderId="5" xfId="1" applyNumberFormat="1" applyFont="1" applyFill="1" applyBorder="1" applyAlignment="1">
      <alignment horizontal="right" vertical="center"/>
    </xf>
    <xf numFmtId="165" fontId="30" fillId="3" borderId="5" xfId="1" applyNumberFormat="1" applyFont="1" applyFill="1" applyBorder="1" applyAlignment="1">
      <alignment horizontal="right" vertical="center"/>
    </xf>
    <xf numFmtId="42" fontId="30" fillId="3" borderId="5" xfId="4" applyNumberFormat="1" applyFont="1" applyFill="1" applyBorder="1" applyAlignment="1">
      <alignment vertical="center"/>
    </xf>
    <xf numFmtId="49" fontId="30" fillId="3" borderId="5" xfId="0" applyNumberFormat="1" applyFont="1" applyFill="1" applyBorder="1" applyAlignment="1">
      <alignment horizontal="center" vertical="center"/>
    </xf>
    <xf numFmtId="0" fontId="31" fillId="0" borderId="5" xfId="0" applyFont="1" applyBorder="1"/>
    <xf numFmtId="0" fontId="31" fillId="0" borderId="5" xfId="0" applyFont="1" applyBorder="1" applyAlignment="1">
      <alignment vertical="center"/>
    </xf>
    <xf numFmtId="0" fontId="29" fillId="0" borderId="5" xfId="0" applyFont="1" applyBorder="1" applyAlignment="1">
      <alignment vertical="center"/>
    </xf>
    <xf numFmtId="0" fontId="12" fillId="3" borderId="5" xfId="0" applyFont="1" applyFill="1" applyBorder="1" applyAlignment="1">
      <alignment horizontal="left" vertical="center"/>
    </xf>
    <xf numFmtId="165" fontId="12" fillId="12" borderId="5" xfId="1" applyNumberFormat="1" applyFont="1" applyFill="1" applyBorder="1" applyAlignment="1">
      <alignment horizontal="right" vertical="center"/>
    </xf>
    <xf numFmtId="165" fontId="12" fillId="13" borderId="5" xfId="1" applyNumberFormat="1" applyFont="1" applyFill="1" applyBorder="1" applyAlignment="1">
      <alignment horizontal="right" vertical="center"/>
    </xf>
    <xf numFmtId="165" fontId="12" fillId="0" borderId="5" xfId="1" applyNumberFormat="1" applyFont="1" applyFill="1" applyBorder="1" applyAlignment="1">
      <alignment horizontal="right" vertical="center"/>
    </xf>
    <xf numFmtId="165" fontId="12" fillId="21" borderId="5" xfId="1" applyNumberFormat="1" applyFont="1" applyFill="1" applyBorder="1" applyAlignment="1">
      <alignment horizontal="right" vertical="center"/>
    </xf>
    <xf numFmtId="42" fontId="12" fillId="3" borderId="5" xfId="4" applyNumberFormat="1" applyFont="1" applyFill="1" applyBorder="1" applyAlignment="1">
      <alignment vertical="center"/>
    </xf>
    <xf numFmtId="165" fontId="0" fillId="3" borderId="5" xfId="0" applyNumberFormat="1" applyFill="1" applyBorder="1" applyAlignment="1">
      <alignment vertical="center" wrapText="1"/>
    </xf>
    <xf numFmtId="49" fontId="12" fillId="3" borderId="5" xfId="0" applyNumberFormat="1" applyFont="1" applyFill="1" applyBorder="1" applyAlignment="1">
      <alignment horizontal="center" vertical="center"/>
    </xf>
    <xf numFmtId="0" fontId="27" fillId="0" borderId="5" xfId="0" applyFont="1" applyBorder="1" applyAlignment="1">
      <alignment vertical="center"/>
    </xf>
    <xf numFmtId="165" fontId="0" fillId="21" borderId="5" xfId="1" applyNumberFormat="1" applyFont="1" applyFill="1" applyBorder="1" applyAlignment="1">
      <alignment vertical="center"/>
    </xf>
    <xf numFmtId="165" fontId="30" fillId="0" borderId="5" xfId="1" applyNumberFormat="1" applyFont="1" applyBorder="1" applyAlignment="1">
      <alignment horizontal="right" vertical="center"/>
    </xf>
    <xf numFmtId="0" fontId="38" fillId="0" borderId="5" xfId="0" applyFont="1" applyBorder="1"/>
    <xf numFmtId="0" fontId="38" fillId="0" borderId="5" xfId="0" applyFont="1" applyBorder="1" applyAlignment="1">
      <alignment vertical="center"/>
    </xf>
    <xf numFmtId="165" fontId="12" fillId="12" borderId="5" xfId="1" applyNumberFormat="1" applyFont="1" applyFill="1" applyBorder="1" applyAlignment="1">
      <alignment vertical="center"/>
    </xf>
    <xf numFmtId="165" fontId="12" fillId="3" borderId="5" xfId="1" applyNumberFormat="1" applyFont="1" applyFill="1" applyBorder="1" applyAlignment="1">
      <alignment vertical="center"/>
    </xf>
    <xf numFmtId="165" fontId="12" fillId="26" borderId="5" xfId="1" applyNumberFormat="1" applyFont="1" applyFill="1" applyBorder="1" applyAlignment="1">
      <alignment horizontal="right" vertical="center"/>
    </xf>
    <xf numFmtId="165" fontId="12" fillId="13" borderId="5" xfId="1" applyNumberFormat="1" applyFont="1" applyFill="1" applyBorder="1" applyAlignment="1">
      <alignment vertical="center"/>
    </xf>
    <xf numFmtId="165" fontId="12" fillId="2" borderId="5" xfId="1" applyNumberFormat="1" applyFont="1" applyFill="1" applyBorder="1" applyAlignment="1">
      <alignment horizontal="right" vertical="center"/>
    </xf>
    <xf numFmtId="165" fontId="0" fillId="3" borderId="5" xfId="1" applyNumberFormat="1" applyFont="1" applyFill="1" applyBorder="1" applyAlignment="1">
      <alignment horizontal="right" vertical="center"/>
    </xf>
    <xf numFmtId="0" fontId="0" fillId="3" borderId="5" xfId="0" applyFill="1" applyBorder="1" applyAlignment="1">
      <alignment horizontal="left" vertical="center"/>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165" fontId="2" fillId="21" borderId="5" xfId="1" applyNumberFormat="1" applyFont="1" applyFill="1" applyBorder="1" applyAlignment="1">
      <alignment vertical="center"/>
    </xf>
    <xf numFmtId="165" fontId="2" fillId="0" borderId="5" xfId="1" applyNumberFormat="1" applyFont="1" applyFill="1" applyBorder="1" applyAlignment="1">
      <alignment horizontal="right" vertical="center"/>
    </xf>
    <xf numFmtId="165" fontId="2" fillId="21" borderId="5" xfId="1" applyNumberFormat="1" applyFont="1" applyFill="1" applyBorder="1" applyAlignment="1">
      <alignment horizontal="right" vertical="center"/>
    </xf>
    <xf numFmtId="0" fontId="18" fillId="10" borderId="5" xfId="0" applyFont="1" applyFill="1" applyBorder="1" applyAlignment="1">
      <alignment vertical="center"/>
    </xf>
    <xf numFmtId="0" fontId="2" fillId="11" borderId="5" xfId="0" applyFont="1" applyFill="1" applyBorder="1"/>
    <xf numFmtId="0" fontId="12" fillId="9" borderId="5" xfId="0" applyFont="1" applyFill="1" applyBorder="1" applyAlignment="1">
      <alignment horizontal="left" vertical="center"/>
    </xf>
    <xf numFmtId="165" fontId="12" fillId="9" borderId="5" xfId="1" applyNumberFormat="1" applyFont="1" applyFill="1" applyBorder="1" applyAlignment="1">
      <alignment horizontal="right" vertical="center"/>
    </xf>
    <xf numFmtId="165" fontId="0" fillId="9" borderId="5" xfId="0" applyNumberFormat="1" applyFill="1" applyBorder="1" applyAlignment="1">
      <alignment vertical="center" wrapText="1"/>
    </xf>
    <xf numFmtId="49" fontId="12" fillId="9" borderId="5" xfId="0" applyNumberFormat="1" applyFont="1" applyFill="1" applyBorder="1" applyAlignment="1">
      <alignment horizontal="center" vertical="center" wrapText="1"/>
    </xf>
    <xf numFmtId="49" fontId="12" fillId="9" borderId="5" xfId="0" applyNumberFormat="1" applyFont="1" applyFill="1" applyBorder="1" applyAlignment="1">
      <alignment horizontal="center" vertical="center"/>
    </xf>
    <xf numFmtId="0" fontId="39" fillId="0" borderId="5" xfId="0" applyFont="1" applyBorder="1" applyAlignment="1">
      <alignment vertical="center"/>
    </xf>
    <xf numFmtId="0" fontId="2" fillId="9" borderId="5" xfId="0" applyFont="1" applyFill="1" applyBorder="1" applyAlignment="1">
      <alignment horizontal="left" vertical="center"/>
    </xf>
    <xf numFmtId="165" fontId="2" fillId="9" borderId="5" xfId="1" applyNumberFormat="1" applyFont="1" applyFill="1" applyBorder="1" applyAlignment="1">
      <alignment horizontal="right" vertical="center"/>
    </xf>
    <xf numFmtId="49" fontId="2" fillId="9" borderId="5" xfId="0" applyNumberFormat="1" applyFont="1" applyFill="1" applyBorder="1" applyAlignment="1">
      <alignment horizontal="center" vertical="center"/>
    </xf>
    <xf numFmtId="0" fontId="2" fillId="0" borderId="5" xfId="0" applyFont="1" applyBorder="1"/>
    <xf numFmtId="0" fontId="19" fillId="0" borderId="5" xfId="0" applyFont="1" applyBorder="1" applyAlignment="1">
      <alignment vertical="center"/>
    </xf>
    <xf numFmtId="0" fontId="14" fillId="2" borderId="5" xfId="0" applyFont="1" applyFill="1" applyBorder="1" applyAlignment="1">
      <alignment horizontal="left" vertical="center"/>
    </xf>
    <xf numFmtId="165" fontId="14" fillId="12" borderId="5" xfId="1" applyNumberFormat="1" applyFont="1" applyFill="1" applyBorder="1" applyAlignment="1">
      <alignment horizontal="right" vertical="center"/>
    </xf>
    <xf numFmtId="165" fontId="14" fillId="13" borderId="5" xfId="1" applyNumberFormat="1" applyFont="1" applyFill="1" applyBorder="1" applyAlignment="1">
      <alignment horizontal="right" vertical="center"/>
    </xf>
    <xf numFmtId="165" fontId="14" fillId="0" borderId="5" xfId="1" applyNumberFormat="1" applyFont="1" applyFill="1" applyBorder="1" applyAlignment="1">
      <alignment horizontal="right" vertical="center"/>
    </xf>
    <xf numFmtId="165" fontId="14" fillId="2" borderId="5" xfId="1" applyNumberFormat="1" applyFont="1" applyFill="1" applyBorder="1" applyAlignment="1">
      <alignment horizontal="right" vertical="center"/>
    </xf>
    <xf numFmtId="165" fontId="14" fillId="2" borderId="5" xfId="1" applyNumberFormat="1" applyFont="1" applyFill="1" applyBorder="1" applyAlignment="1">
      <alignment vertical="center"/>
    </xf>
    <xf numFmtId="42" fontId="14" fillId="2" borderId="5" xfId="4" applyNumberFormat="1" applyFont="1" applyFill="1" applyBorder="1" applyAlignment="1">
      <alignment vertical="center"/>
    </xf>
    <xf numFmtId="165" fontId="14" fillId="2" borderId="5" xfId="0" applyNumberFormat="1" applyFont="1" applyFill="1" applyBorder="1" applyAlignment="1">
      <alignment vertical="center" wrapText="1"/>
    </xf>
    <xf numFmtId="49" fontId="14" fillId="2" borderId="5" xfId="0" applyNumberFormat="1" applyFont="1" applyFill="1" applyBorder="1" applyAlignment="1">
      <alignment horizontal="center" vertical="center"/>
    </xf>
    <xf numFmtId="0" fontId="13" fillId="2" borderId="5" xfId="0" applyFont="1" applyFill="1" applyBorder="1" applyAlignment="1">
      <alignment horizontal="center" vertical="center"/>
    </xf>
    <xf numFmtId="42" fontId="0" fillId="0" borderId="5" xfId="4" applyNumberFormat="1" applyFont="1" applyBorder="1"/>
    <xf numFmtId="0" fontId="0" fillId="0" borderId="5" xfId="0" applyBorder="1" applyAlignment="1">
      <alignment wrapText="1"/>
    </xf>
    <xf numFmtId="49" fontId="0" fillId="0" borderId="5" xfId="0" applyNumberFormat="1" applyBorder="1" applyAlignment="1">
      <alignment horizontal="center"/>
    </xf>
    <xf numFmtId="0" fontId="17" fillId="7" borderId="5" xfId="0" applyFont="1" applyFill="1" applyBorder="1" applyAlignment="1">
      <alignment vertical="center"/>
    </xf>
    <xf numFmtId="0" fontId="12" fillId="7" borderId="5" xfId="0" applyFont="1" applyFill="1" applyBorder="1" applyAlignment="1">
      <alignment vertical="center"/>
    </xf>
    <xf numFmtId="164" fontId="12" fillId="12" borderId="5" xfId="1" applyNumberFormat="1" applyFont="1" applyFill="1" applyBorder="1" applyAlignment="1">
      <alignment horizontal="right" vertical="center"/>
    </xf>
    <xf numFmtId="164" fontId="12" fillId="13" borderId="5" xfId="1" applyNumberFormat="1" applyFont="1" applyFill="1" applyBorder="1" applyAlignment="1">
      <alignment horizontal="right" vertical="center"/>
    </xf>
    <xf numFmtId="164" fontId="12" fillId="7" borderId="5" xfId="1" applyNumberFormat="1" applyFont="1" applyFill="1" applyBorder="1" applyAlignment="1">
      <alignment horizontal="right" vertical="center"/>
    </xf>
    <xf numFmtId="42" fontId="12" fillId="7" borderId="5" xfId="4" applyNumberFormat="1" applyFont="1" applyFill="1" applyBorder="1" applyAlignment="1">
      <alignment horizontal="right" vertical="center"/>
    </xf>
    <xf numFmtId="0" fontId="0" fillId="7" borderId="5" xfId="0" applyFill="1" applyBorder="1" applyAlignment="1">
      <alignment vertical="center" wrapText="1"/>
    </xf>
    <xf numFmtId="49" fontId="12" fillId="7" borderId="5" xfId="0" applyNumberFormat="1" applyFont="1" applyFill="1" applyBorder="1" applyAlignment="1">
      <alignment horizontal="center" vertical="center"/>
    </xf>
    <xf numFmtId="42" fontId="2" fillId="5" borderId="5" xfId="4" applyNumberFormat="1" applyFont="1" applyFill="1" applyBorder="1" applyAlignment="1">
      <alignment vertical="center"/>
    </xf>
    <xf numFmtId="0" fontId="0" fillId="5" borderId="5" xfId="0" applyFill="1" applyBorder="1" applyAlignment="1">
      <alignment vertical="center" wrapText="1"/>
    </xf>
    <xf numFmtId="49" fontId="2" fillId="5" borderId="5" xfId="0" applyNumberFormat="1" applyFont="1" applyFill="1" applyBorder="1" applyAlignment="1">
      <alignment horizontal="center" vertical="center"/>
    </xf>
    <xf numFmtId="164" fontId="12" fillId="26" borderId="5" xfId="1" applyNumberFormat="1" applyFont="1" applyFill="1" applyBorder="1" applyAlignment="1">
      <alignment horizontal="right" vertical="center"/>
    </xf>
    <xf numFmtId="164" fontId="12" fillId="11" borderId="5" xfId="1" applyNumberFormat="1" applyFont="1" applyFill="1" applyBorder="1" applyAlignment="1">
      <alignment horizontal="right" vertical="center"/>
    </xf>
    <xf numFmtId="0" fontId="0" fillId="26" borderId="5" xfId="1" applyNumberFormat="1" applyFont="1" applyFill="1" applyBorder="1" applyAlignment="1">
      <alignment horizontal="left" vertical="center" wrapText="1"/>
    </xf>
    <xf numFmtId="49" fontId="12" fillId="26" borderId="5" xfId="1" applyNumberFormat="1" applyFont="1" applyFill="1" applyBorder="1" applyAlignment="1">
      <alignment horizontal="center" vertical="center"/>
    </xf>
    <xf numFmtId="165" fontId="0" fillId="26" borderId="5" xfId="1" applyNumberFormat="1" applyFont="1" applyFill="1" applyBorder="1" applyAlignment="1">
      <alignment horizontal="right" vertical="center"/>
    </xf>
    <xf numFmtId="0" fontId="2" fillId="0" borderId="5" xfId="0" applyFont="1" applyBorder="1" applyAlignment="1">
      <alignment wrapText="1"/>
    </xf>
    <xf numFmtId="0" fontId="0" fillId="0" borderId="5" xfId="0" applyBorder="1" applyAlignment="1">
      <alignment horizontal="center"/>
    </xf>
    <xf numFmtId="164" fontId="12" fillId="0" borderId="5" xfId="1" applyNumberFormat="1" applyFont="1" applyBorder="1" applyAlignment="1">
      <alignment vertical="center"/>
    </xf>
    <xf numFmtId="0" fontId="2" fillId="26" borderId="5" xfId="1" applyNumberFormat="1" applyFont="1" applyFill="1" applyBorder="1" applyAlignment="1">
      <alignment horizontal="left" vertical="center" wrapText="1"/>
    </xf>
    <xf numFmtId="42" fontId="0" fillId="0" borderId="5" xfId="4" applyNumberFormat="1" applyFont="1" applyBorder="1" applyAlignment="1"/>
    <xf numFmtId="0" fontId="2" fillId="2" borderId="5" xfId="0" applyFont="1" applyFill="1" applyBorder="1" applyAlignment="1">
      <alignment horizontal="center" vertical="center"/>
    </xf>
    <xf numFmtId="0" fontId="12" fillId="2" borderId="5" xfId="0" applyFont="1" applyFill="1" applyBorder="1" applyAlignment="1">
      <alignment horizontal="left" vertical="center"/>
    </xf>
    <xf numFmtId="42" fontId="12" fillId="11" borderId="5" xfId="4" applyNumberFormat="1" applyFont="1" applyFill="1" applyBorder="1" applyAlignment="1">
      <alignment vertical="center"/>
    </xf>
    <xf numFmtId="0" fontId="2" fillId="11" borderId="5" xfId="0" applyFont="1" applyFill="1" applyBorder="1" applyAlignment="1">
      <alignment horizontal="left" vertical="center"/>
    </xf>
    <xf numFmtId="0" fontId="12" fillId="11" borderId="5" xfId="0" applyFont="1" applyFill="1" applyBorder="1" applyAlignment="1">
      <alignment horizontal="left" vertical="center"/>
    </xf>
    <xf numFmtId="0" fontId="36" fillId="25" borderId="5" xfId="0" applyFont="1" applyFill="1" applyBorder="1" applyAlignment="1">
      <alignment vertical="center"/>
    </xf>
    <xf numFmtId="164" fontId="0" fillId="0" borderId="5" xfId="1" applyNumberFormat="1" applyFont="1" applyBorder="1"/>
    <xf numFmtId="0" fontId="0" fillId="0" borderId="5" xfId="0" applyBorder="1" applyAlignment="1">
      <alignment horizontal="center" vertical="center"/>
    </xf>
    <xf numFmtId="0" fontId="2" fillId="11" borderId="5" xfId="0" applyFont="1" applyFill="1" applyBorder="1" applyAlignment="1">
      <alignment vertical="center"/>
    </xf>
    <xf numFmtId="0" fontId="2" fillId="0" borderId="0" xfId="0" applyFont="1"/>
    <xf numFmtId="0" fontId="2" fillId="0" borderId="9" xfId="0" applyFont="1" applyBorder="1"/>
    <xf numFmtId="165" fontId="12" fillId="0" borderId="5" xfId="0" applyNumberFormat="1" applyFont="1" applyBorder="1" applyAlignment="1">
      <alignment horizontal="center" vertical="center"/>
    </xf>
    <xf numFmtId="0" fontId="12" fillId="5" borderId="5" xfId="0" applyFont="1" applyFill="1" applyBorder="1" applyAlignment="1">
      <alignment horizontal="center" vertical="center"/>
    </xf>
    <xf numFmtId="165" fontId="12" fillId="5" borderId="5" xfId="0" applyNumberFormat="1" applyFont="1" applyFill="1" applyBorder="1" applyAlignment="1">
      <alignment horizontal="center" vertical="center"/>
    </xf>
    <xf numFmtId="165" fontId="12" fillId="3" borderId="5" xfId="1" applyNumberFormat="1" applyFont="1" applyFill="1" applyBorder="1" applyAlignment="1">
      <alignment horizontal="center" vertical="center"/>
    </xf>
    <xf numFmtId="165" fontId="12" fillId="3" borderId="5" xfId="4" applyNumberFormat="1" applyFont="1" applyFill="1" applyBorder="1" applyAlignment="1">
      <alignment horizontal="center" vertical="center"/>
    </xf>
    <xf numFmtId="165" fontId="0" fillId="0" borderId="5" xfId="0" applyNumberFormat="1" applyBorder="1" applyAlignment="1">
      <alignment horizontal="center" vertical="center"/>
    </xf>
    <xf numFmtId="165" fontId="2" fillId="3" borderId="5" xfId="1" applyNumberFormat="1" applyFont="1" applyFill="1" applyBorder="1" applyAlignment="1">
      <alignment horizontal="center" vertical="center"/>
    </xf>
    <xf numFmtId="165" fontId="2" fillId="3" borderId="5" xfId="4" applyNumberFormat="1" applyFont="1" applyFill="1" applyBorder="1" applyAlignment="1">
      <alignment horizontal="center" vertical="center"/>
    </xf>
    <xf numFmtId="165" fontId="12" fillId="9" borderId="5" xfId="1" applyNumberFormat="1" applyFont="1" applyFill="1" applyBorder="1" applyAlignment="1">
      <alignment horizontal="center" vertical="center"/>
    </xf>
    <xf numFmtId="165" fontId="2" fillId="9" borderId="5" xfId="1" applyNumberFormat="1" applyFont="1" applyFill="1" applyBorder="1" applyAlignment="1">
      <alignment horizontal="center" vertical="center"/>
    </xf>
    <xf numFmtId="165" fontId="14" fillId="2" borderId="5" xfId="1" applyNumberFormat="1" applyFont="1" applyFill="1" applyBorder="1" applyAlignment="1">
      <alignment horizontal="center" vertical="center"/>
    </xf>
    <xf numFmtId="165" fontId="14" fillId="2" borderId="5" xfId="4" applyNumberFormat="1" applyFont="1" applyFill="1" applyBorder="1" applyAlignment="1">
      <alignment horizontal="center" vertical="center"/>
    </xf>
    <xf numFmtId="165" fontId="0" fillId="0" borderId="5" xfId="4" applyNumberFormat="1" applyFont="1" applyBorder="1" applyAlignment="1">
      <alignment horizontal="center" vertical="center"/>
    </xf>
    <xf numFmtId="164" fontId="12" fillId="7" borderId="5" xfId="1" applyNumberFormat="1" applyFont="1" applyFill="1" applyBorder="1" applyAlignment="1">
      <alignment horizontal="center" vertical="center"/>
    </xf>
    <xf numFmtId="165" fontId="12" fillId="7" borderId="5" xfId="4" applyNumberFormat="1" applyFont="1" applyFill="1" applyBorder="1" applyAlignment="1">
      <alignment horizontal="center" vertical="center"/>
    </xf>
    <xf numFmtId="0" fontId="2" fillId="5" borderId="5" xfId="0" applyFont="1" applyFill="1" applyBorder="1" applyAlignment="1">
      <alignment horizontal="center" vertical="center"/>
    </xf>
    <xf numFmtId="165" fontId="2" fillId="5" borderId="5" xfId="4" applyNumberFormat="1" applyFont="1" applyFill="1" applyBorder="1" applyAlignment="1">
      <alignment horizontal="center" vertical="center"/>
    </xf>
    <xf numFmtId="164" fontId="12" fillId="11" borderId="5" xfId="1" applyNumberFormat="1" applyFont="1" applyFill="1" applyBorder="1" applyAlignment="1">
      <alignment horizontal="center" vertical="center"/>
    </xf>
    <xf numFmtId="165" fontId="12" fillId="11" borderId="5" xfId="4" applyNumberFormat="1" applyFont="1" applyFill="1" applyBorder="1" applyAlignment="1">
      <alignment horizontal="center" vertical="center"/>
    </xf>
    <xf numFmtId="164" fontId="0" fillId="0" borderId="5" xfId="1" applyNumberFormat="1" applyFont="1" applyBorder="1" applyAlignment="1">
      <alignment horizontal="center" vertical="center"/>
    </xf>
    <xf numFmtId="165" fontId="0" fillId="0" borderId="5" xfId="1" applyNumberFormat="1" applyFont="1" applyBorder="1" applyAlignment="1">
      <alignment horizontal="center" vertical="center"/>
    </xf>
    <xf numFmtId="165" fontId="12" fillId="0" borderId="5" xfId="1" applyNumberFormat="1" applyFont="1" applyFill="1" applyBorder="1" applyAlignment="1">
      <alignment horizontal="center" vertical="center"/>
    </xf>
    <xf numFmtId="165" fontId="0" fillId="0" borderId="5" xfId="0" applyNumberFormat="1" applyBorder="1" applyAlignment="1">
      <alignment vertical="center" wrapText="1"/>
    </xf>
    <xf numFmtId="49" fontId="12" fillId="0" borderId="5" xfId="0" applyNumberFormat="1" applyFont="1" applyBorder="1" applyAlignment="1">
      <alignment horizontal="center" vertical="center"/>
    </xf>
    <xf numFmtId="0" fontId="0" fillId="0" borderId="8" xfId="0" applyBorder="1" applyAlignment="1">
      <alignment vertical="top"/>
    </xf>
    <xf numFmtId="0" fontId="0" fillId="0" borderId="0" xfId="0" applyAlignment="1">
      <alignment vertical="top"/>
    </xf>
    <xf numFmtId="0" fontId="2" fillId="0" borderId="8" xfId="0" applyFont="1" applyBorder="1" applyAlignment="1">
      <alignment vertical="top"/>
    </xf>
    <xf numFmtId="0" fontId="36" fillId="0" borderId="19" xfId="0" applyFont="1" applyBorder="1" applyAlignment="1">
      <alignment horizontal="left"/>
    </xf>
    <xf numFmtId="0" fontId="0" fillId="0" borderId="5" xfId="0" applyBorder="1" applyAlignment="1">
      <alignment vertical="top"/>
    </xf>
    <xf numFmtId="42" fontId="0" fillId="0" borderId="5" xfId="4" applyNumberFormat="1" applyFont="1" applyBorder="1" applyAlignment="1">
      <alignment vertical="top"/>
    </xf>
    <xf numFmtId="0" fontId="2" fillId="28" borderId="5" xfId="0" applyFont="1" applyFill="1" applyBorder="1" applyAlignment="1">
      <alignment horizontal="center" vertical="top"/>
    </xf>
    <xf numFmtId="0" fontId="2" fillId="28" borderId="5" xfId="0" applyFont="1" applyFill="1" applyBorder="1" applyAlignment="1">
      <alignment vertical="top"/>
    </xf>
    <xf numFmtId="42" fontId="2" fillId="28" borderId="5" xfId="4" applyNumberFormat="1" applyFont="1" applyFill="1" applyBorder="1" applyAlignment="1">
      <alignment vertical="top"/>
    </xf>
    <xf numFmtId="0" fontId="2" fillId="28" borderId="5" xfId="0" applyFont="1" applyFill="1" applyBorder="1" applyAlignment="1">
      <alignment vertical="top" wrapText="1"/>
    </xf>
    <xf numFmtId="0" fontId="0" fillId="26" borderId="5" xfId="1" applyNumberFormat="1" applyFont="1" applyFill="1" applyBorder="1" applyAlignment="1">
      <alignment horizontal="left" vertical="center"/>
    </xf>
    <xf numFmtId="0" fontId="2" fillId="0" borderId="5" xfId="0" applyFont="1" applyBorder="1" applyAlignment="1">
      <alignment vertical="top"/>
    </xf>
    <xf numFmtId="0" fontId="36" fillId="0" borderId="19" xfId="0" applyFont="1" applyBorder="1" applyAlignment="1">
      <alignment horizontal="left" vertical="top" wrapText="1"/>
    </xf>
    <xf numFmtId="0" fontId="36" fillId="0" borderId="19" xfId="0" applyFont="1" applyBorder="1" applyAlignment="1">
      <alignment horizontal="left" wrapText="1"/>
    </xf>
    <xf numFmtId="0" fontId="36" fillId="0" borderId="20" xfId="0" applyFont="1" applyBorder="1" applyAlignment="1">
      <alignment horizontal="left"/>
    </xf>
    <xf numFmtId="0" fontId="36" fillId="0" borderId="20"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left" vertical="top" wrapText="1"/>
    </xf>
    <xf numFmtId="0" fontId="46" fillId="0" borderId="5" xfId="0" applyFont="1" applyBorder="1" applyAlignment="1">
      <alignment horizontal="left" vertical="top"/>
    </xf>
    <xf numFmtId="0" fontId="46" fillId="0" borderId="5" xfId="0" applyFont="1" applyBorder="1" applyAlignment="1">
      <alignment horizontal="left" vertical="top" wrapText="1"/>
    </xf>
    <xf numFmtId="0" fontId="2" fillId="0" borderId="5" xfId="0" applyFont="1" applyBorder="1" applyAlignment="1">
      <alignment horizontal="left" vertical="center"/>
    </xf>
    <xf numFmtId="49" fontId="0" fillId="0" borderId="5" xfId="0" applyNumberFormat="1" applyBorder="1"/>
    <xf numFmtId="49" fontId="0" fillId="0" borderId="5" xfId="0" applyNumberFormat="1" applyBorder="1" applyAlignment="1">
      <alignment horizontal="center" vertical="top"/>
    </xf>
    <xf numFmtId="49" fontId="2" fillId="28" borderId="5" xfId="0" applyNumberFormat="1" applyFont="1" applyFill="1" applyBorder="1" applyAlignment="1">
      <alignment horizontal="center" vertical="top"/>
    </xf>
    <xf numFmtId="0" fontId="31" fillId="0" borderId="9" xfId="0" applyFont="1" applyBorder="1"/>
    <xf numFmtId="0" fontId="38" fillId="0" borderId="9" xfId="0" applyFont="1" applyBorder="1"/>
    <xf numFmtId="0" fontId="0" fillId="0" borderId="1" xfId="0" applyBorder="1"/>
    <xf numFmtId="0" fontId="0" fillId="0" borderId="1" xfId="0" applyBorder="1" applyAlignment="1">
      <alignment vertical="top"/>
    </xf>
    <xf numFmtId="165" fontId="0" fillId="0" borderId="0" xfId="0" applyNumberFormat="1" applyAlignment="1">
      <alignment horizontal="center" vertical="center"/>
    </xf>
    <xf numFmtId="0" fontId="47" fillId="0" borderId="21" xfId="0" applyFont="1" applyBorder="1"/>
    <xf numFmtId="3" fontId="47" fillId="0" borderId="21" xfId="0" applyNumberFormat="1" applyFont="1" applyBorder="1"/>
    <xf numFmtId="49" fontId="2" fillId="0" borderId="5" xfId="0" applyNumberFormat="1" applyFont="1" applyBorder="1" applyAlignment="1">
      <alignment horizontal="center" vertical="center"/>
    </xf>
    <xf numFmtId="0" fontId="48" fillId="29" borderId="22" xfId="0" applyFont="1" applyFill="1" applyBorder="1" applyAlignment="1">
      <alignment wrapText="1"/>
    </xf>
    <xf numFmtId="0" fontId="49" fillId="29" borderId="22" xfId="0" applyFont="1" applyFill="1" applyBorder="1" applyAlignment="1">
      <alignment wrapText="1"/>
    </xf>
    <xf numFmtId="0" fontId="49" fillId="29" borderId="22" xfId="0" applyFont="1" applyFill="1" applyBorder="1"/>
    <xf numFmtId="0" fontId="49" fillId="29" borderId="17" xfId="0" applyFont="1" applyFill="1" applyBorder="1" applyAlignment="1">
      <alignment wrapText="1"/>
    </xf>
    <xf numFmtId="0" fontId="24" fillId="30" borderId="22" xfId="0" applyFont="1" applyFill="1" applyBorder="1" applyAlignment="1">
      <alignment horizontal="center" vertical="center" wrapText="1"/>
    </xf>
    <xf numFmtId="6" fontId="49" fillId="29" borderId="22" xfId="0" applyNumberFormat="1" applyFont="1" applyFill="1" applyBorder="1" applyAlignment="1">
      <alignment horizontal="center" vertical="center" wrapText="1"/>
    </xf>
    <xf numFmtId="6" fontId="49" fillId="29" borderId="17" xfId="0" applyNumberFormat="1" applyFont="1" applyFill="1" applyBorder="1" applyAlignment="1">
      <alignment horizontal="center" vertical="center" wrapText="1"/>
    </xf>
    <xf numFmtId="165" fontId="12" fillId="31" borderId="5" xfId="1" applyNumberFormat="1" applyFont="1" applyFill="1" applyBorder="1" applyAlignment="1">
      <alignment vertical="center"/>
    </xf>
    <xf numFmtId="165" fontId="12" fillId="31" borderId="5" xfId="1" applyNumberFormat="1" applyFont="1" applyFill="1" applyBorder="1" applyAlignment="1">
      <alignment horizontal="center" vertical="center"/>
    </xf>
    <xf numFmtId="165" fontId="2" fillId="31" borderId="5" xfId="1" applyNumberFormat="1" applyFont="1" applyFill="1" applyBorder="1" applyAlignment="1">
      <alignment horizontal="center" vertical="center"/>
    </xf>
    <xf numFmtId="0" fontId="0" fillId="31" borderId="5" xfId="0" applyFill="1" applyBorder="1" applyAlignment="1">
      <alignment horizontal="center" vertical="center"/>
    </xf>
    <xf numFmtId="165" fontId="12" fillId="21" borderId="5" xfId="1" applyNumberFormat="1" applyFont="1" applyFill="1" applyBorder="1" applyAlignment="1">
      <alignment horizontal="center" vertical="center"/>
    </xf>
    <xf numFmtId="165" fontId="2" fillId="21" borderId="5" xfId="1" applyNumberFormat="1" applyFont="1" applyFill="1" applyBorder="1" applyAlignment="1">
      <alignment horizontal="center" vertical="center"/>
    </xf>
    <xf numFmtId="0" fontId="0" fillId="21" borderId="5" xfId="0" applyFill="1" applyBorder="1" applyAlignment="1">
      <alignment horizontal="center" vertical="center"/>
    </xf>
    <xf numFmtId="0" fontId="14" fillId="21" borderId="5" xfId="0" applyFont="1" applyFill="1" applyBorder="1" applyAlignment="1">
      <alignment horizontal="center" vertical="center"/>
    </xf>
    <xf numFmtId="3" fontId="47" fillId="31" borderId="5" xfId="0" applyNumberFormat="1" applyFont="1" applyFill="1" applyBorder="1"/>
    <xf numFmtId="3" fontId="47" fillId="21" borderId="5" xfId="0" applyNumberFormat="1" applyFont="1" applyFill="1" applyBorder="1"/>
    <xf numFmtId="0" fontId="50" fillId="0" borderId="5" xfId="0" applyFont="1" applyBorder="1" applyAlignment="1">
      <alignment vertical="center"/>
    </xf>
    <xf numFmtId="0" fontId="41" fillId="0" borderId="0" xfId="0" applyFont="1" applyAlignment="1">
      <alignment vertical="top"/>
    </xf>
    <xf numFmtId="0" fontId="40" fillId="0" borderId="0" xfId="0" applyFont="1" applyAlignment="1">
      <alignment vertical="top"/>
    </xf>
    <xf numFmtId="0" fontId="0" fillId="0" borderId="0" xfId="0" applyAlignment="1">
      <alignment vertical="top" wrapText="1"/>
    </xf>
    <xf numFmtId="0" fontId="41" fillId="0" borderId="0" xfId="0" applyFont="1" applyAlignment="1">
      <alignment vertical="top" wrapText="1"/>
    </xf>
    <xf numFmtId="0" fontId="40" fillId="0" borderId="0" xfId="0" applyFont="1" applyAlignment="1">
      <alignment vertical="top" wrapText="1"/>
    </xf>
    <xf numFmtId="49" fontId="0" fillId="0" borderId="0" xfId="0" applyNumberFormat="1" applyAlignment="1">
      <alignment vertical="top"/>
    </xf>
    <xf numFmtId="49" fontId="0" fillId="0" borderId="0" xfId="0" applyNumberFormat="1"/>
    <xf numFmtId="0" fontId="12" fillId="9" borderId="5" xfId="0" applyFont="1" applyFill="1" applyBorder="1" applyAlignment="1">
      <alignment horizontal="center" vertical="center"/>
    </xf>
    <xf numFmtId="0" fontId="51" fillId="0" borderId="5" xfId="0" applyFont="1" applyBorder="1" applyAlignment="1">
      <alignment wrapText="1"/>
    </xf>
    <xf numFmtId="0" fontId="51" fillId="0" borderId="8" xfId="0" applyFont="1" applyBorder="1" applyAlignment="1">
      <alignment wrapText="1"/>
    </xf>
    <xf numFmtId="0" fontId="0" fillId="0" borderId="5"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52" fillId="32" borderId="5" xfId="0" applyFont="1" applyFill="1" applyBorder="1" applyAlignment="1">
      <alignment wrapText="1"/>
    </xf>
    <xf numFmtId="0" fontId="53" fillId="32" borderId="5" xfId="0" applyFont="1" applyFill="1" applyBorder="1" applyAlignment="1">
      <alignment vertical="top" wrapText="1"/>
    </xf>
    <xf numFmtId="0" fontId="53" fillId="32" borderId="5" xfId="0" applyFont="1" applyFill="1" applyBorder="1" applyAlignment="1">
      <alignment horizontal="left" vertical="top" wrapText="1"/>
    </xf>
    <xf numFmtId="0" fontId="52" fillId="32" borderId="5" xfId="0" applyFont="1" applyFill="1" applyBorder="1" applyAlignment="1">
      <alignment horizontal="left" vertical="center"/>
    </xf>
    <xf numFmtId="0" fontId="51" fillId="0" borderId="5" xfId="0" applyFont="1" applyBorder="1" applyAlignment="1">
      <alignment horizontal="left" vertical="center"/>
    </xf>
    <xf numFmtId="0" fontId="0" fillId="0" borderId="0" xfId="0" applyAlignment="1">
      <alignment horizontal="left" vertical="center"/>
    </xf>
    <xf numFmtId="0" fontId="12" fillId="3" borderId="5" xfId="0" applyFont="1" applyFill="1" applyBorder="1" applyAlignment="1">
      <alignment horizontal="left" vertical="center" wrapText="1"/>
    </xf>
    <xf numFmtId="0" fontId="47" fillId="0" borderId="21" xfId="0" applyFont="1" applyBorder="1" applyAlignment="1">
      <alignment wrapText="1"/>
    </xf>
    <xf numFmtId="0" fontId="12" fillId="9" borderId="5" xfId="0" applyFont="1" applyFill="1" applyBorder="1" applyAlignment="1">
      <alignment horizontal="left" vertical="center" wrapText="1"/>
    </xf>
    <xf numFmtId="0" fontId="21" fillId="0" borderId="0" xfId="0" applyFont="1" applyAlignment="1">
      <alignment wrapText="1"/>
    </xf>
    <xf numFmtId="0" fontId="16" fillId="0" borderId="0" xfId="0" applyFont="1" applyAlignment="1">
      <alignment wrapText="1"/>
    </xf>
    <xf numFmtId="0" fontId="16" fillId="8" borderId="0" xfId="0" applyFont="1" applyFill="1" applyAlignment="1">
      <alignment wrapText="1"/>
    </xf>
    <xf numFmtId="0" fontId="20" fillId="0" borderId="0" xfId="0" applyFont="1" applyAlignment="1">
      <alignment wrapText="1"/>
    </xf>
    <xf numFmtId="0" fontId="16" fillId="23" borderId="0" xfId="0" applyFont="1" applyFill="1"/>
    <xf numFmtId="0" fontId="35" fillId="0" borderId="0" xfId="0" applyFont="1" applyAlignment="1">
      <alignment wrapText="1"/>
    </xf>
    <xf numFmtId="0" fontId="0" fillId="0" borderId="8" xfId="0" applyBorder="1" applyAlignment="1">
      <alignment vertical="top" wrapText="1"/>
    </xf>
    <xf numFmtId="0" fontId="15" fillId="0" borderId="18" xfId="0" applyFont="1" applyBorder="1" applyAlignment="1">
      <alignment horizontal="center" vertical="top"/>
    </xf>
    <xf numFmtId="0" fontId="15" fillId="0" borderId="0" xfId="0" applyFont="1" applyAlignment="1">
      <alignment horizontal="left" vertical="top"/>
    </xf>
    <xf numFmtId="0" fontId="0" fillId="0" borderId="9" xfId="0" applyBorder="1" applyAlignment="1">
      <alignment vertical="top"/>
    </xf>
    <xf numFmtId="0" fontId="35" fillId="0" borderId="8" xfId="0" applyFont="1" applyBorder="1" applyAlignment="1">
      <alignment vertical="top" wrapText="1"/>
    </xf>
    <xf numFmtId="0" fontId="34" fillId="0" borderId="8" xfId="0" applyFont="1" applyBorder="1" applyAlignment="1">
      <alignment vertical="top" wrapText="1"/>
    </xf>
    <xf numFmtId="0" fontId="33" fillId="0" borderId="8" xfId="0" applyFont="1" applyBorder="1" applyAlignment="1">
      <alignment vertical="top" wrapText="1"/>
    </xf>
    <xf numFmtId="0" fontId="33" fillId="0" borderId="8" xfId="0" applyFont="1" applyBorder="1" applyAlignment="1">
      <alignment vertical="top"/>
    </xf>
    <xf numFmtId="0" fontId="35" fillId="0" borderId="8" xfId="0" applyFont="1" applyBorder="1" applyAlignment="1">
      <alignment vertical="top"/>
    </xf>
    <xf numFmtId="0" fontId="0" fillId="0" borderId="14" xfId="0" applyBorder="1" applyAlignment="1">
      <alignment vertical="top"/>
    </xf>
    <xf numFmtId="0" fontId="35" fillId="0" borderId="15" xfId="0" applyFont="1" applyBorder="1" applyAlignment="1">
      <alignment vertical="top" wrapText="1"/>
    </xf>
    <xf numFmtId="0" fontId="15" fillId="0" borderId="0" xfId="0" applyFont="1" applyAlignment="1">
      <alignment vertical="top"/>
    </xf>
    <xf numFmtId="0" fontId="33" fillId="2" borderId="0" xfId="0" applyFont="1" applyFill="1" applyAlignment="1">
      <alignment vertical="top"/>
    </xf>
    <xf numFmtId="0" fontId="56" fillId="0" borderId="0" xfId="0" applyFont="1" applyAlignment="1">
      <alignment vertical="top" wrapText="1"/>
    </xf>
    <xf numFmtId="0" fontId="57" fillId="0" borderId="8" xfId="0" applyFont="1" applyBorder="1" applyAlignment="1">
      <alignment vertical="top"/>
    </xf>
    <xf numFmtId="0" fontId="57" fillId="0" borderId="0" xfId="0" applyFont="1"/>
    <xf numFmtId="0" fontId="57" fillId="5" borderId="5" xfId="0" applyFont="1" applyFill="1" applyBorder="1" applyAlignment="1">
      <alignment vertical="center" wrapText="1"/>
    </xf>
    <xf numFmtId="164" fontId="57" fillId="26" borderId="5" xfId="1" applyNumberFormat="1" applyFont="1" applyFill="1" applyBorder="1" applyAlignment="1">
      <alignment horizontal="center" vertical="center"/>
    </xf>
    <xf numFmtId="165" fontId="57" fillId="3" borderId="1" xfId="0" applyNumberFormat="1" applyFont="1" applyFill="1" applyBorder="1" applyAlignment="1">
      <alignment vertical="center" wrapText="1"/>
    </xf>
    <xf numFmtId="0" fontId="57" fillId="0" borderId="1" xfId="0" applyFont="1" applyBorder="1" applyAlignment="1">
      <alignment vertical="top"/>
    </xf>
    <xf numFmtId="0" fontId="57" fillId="0" borderId="5" xfId="0" applyFont="1" applyBorder="1" applyAlignment="1">
      <alignment vertical="center" wrapText="1"/>
    </xf>
    <xf numFmtId="0" fontId="57" fillId="0" borderId="5" xfId="0" applyFont="1" applyBorder="1" applyAlignment="1">
      <alignment horizontal="center"/>
    </xf>
    <xf numFmtId="0" fontId="57" fillId="0" borderId="0" xfId="0" applyFont="1" applyAlignment="1">
      <alignment vertical="center" wrapText="1"/>
    </xf>
    <xf numFmtId="0" fontId="57" fillId="0" borderId="0" xfId="0" applyFont="1" applyAlignment="1">
      <alignment horizontal="center"/>
    </xf>
    <xf numFmtId="0" fontId="57" fillId="0" borderId="0" xfId="0" applyFont="1" applyAlignment="1">
      <alignment vertical="top"/>
    </xf>
    <xf numFmtId="0" fontId="57" fillId="0" borderId="5" xfId="0" applyFont="1" applyBorder="1" applyAlignment="1">
      <alignment vertical="center"/>
    </xf>
    <xf numFmtId="0" fontId="57" fillId="0" borderId="5" xfId="0" applyFont="1" applyBorder="1" applyAlignment="1">
      <alignment horizontal="center" vertical="center"/>
    </xf>
    <xf numFmtId="165" fontId="57" fillId="0" borderId="5" xfId="0" applyNumberFormat="1" applyFont="1" applyBorder="1" applyAlignment="1">
      <alignment horizontal="center" vertical="center"/>
    </xf>
    <xf numFmtId="0" fontId="58" fillId="0" borderId="5" xfId="0" applyFont="1" applyBorder="1" applyAlignment="1">
      <alignment vertical="center" wrapText="1"/>
    </xf>
    <xf numFmtId="17" fontId="57" fillId="0" borderId="5" xfId="0" applyNumberFormat="1" applyFont="1" applyBorder="1" applyAlignment="1">
      <alignment horizontal="center" vertical="center"/>
    </xf>
    <xf numFmtId="0" fontId="58" fillId="0" borderId="5" xfId="0" applyFont="1" applyBorder="1" applyAlignment="1">
      <alignment horizontal="center" vertical="center" wrapText="1"/>
    </xf>
    <xf numFmtId="0" fontId="58" fillId="5" borderId="5" xfId="0" applyFont="1" applyFill="1" applyBorder="1" applyAlignment="1">
      <alignment vertical="center"/>
    </xf>
    <xf numFmtId="0" fontId="58" fillId="5" borderId="5" xfId="0" applyFont="1" applyFill="1" applyBorder="1" applyAlignment="1">
      <alignment horizontal="center" vertical="center"/>
    </xf>
    <xf numFmtId="165" fontId="58" fillId="5" borderId="5" xfId="4" applyNumberFormat="1" applyFont="1" applyFill="1" applyBorder="1" applyAlignment="1">
      <alignment horizontal="center" vertical="center"/>
    </xf>
    <xf numFmtId="49" fontId="58" fillId="5" borderId="5" xfId="0" applyNumberFormat="1" applyFont="1" applyFill="1" applyBorder="1" applyAlignment="1">
      <alignment horizontal="center" vertical="center"/>
    </xf>
    <xf numFmtId="0" fontId="57" fillId="3" borderId="5" xfId="0" applyFont="1" applyFill="1" applyBorder="1" applyAlignment="1">
      <alignment horizontal="left" vertical="center"/>
    </xf>
    <xf numFmtId="164" fontId="57" fillId="3" borderId="5" xfId="1" applyNumberFormat="1" applyFont="1" applyFill="1" applyBorder="1" applyAlignment="1">
      <alignment horizontal="center" vertical="center"/>
    </xf>
    <xf numFmtId="0" fontId="57" fillId="3" borderId="5" xfId="0" applyFont="1" applyFill="1" applyBorder="1" applyAlignment="1">
      <alignment horizontal="left" vertical="center" wrapText="1"/>
    </xf>
    <xf numFmtId="49" fontId="57" fillId="26" borderId="5" xfId="1" applyNumberFormat="1" applyFont="1" applyFill="1" applyBorder="1" applyAlignment="1">
      <alignment horizontal="center" vertical="center"/>
    </xf>
    <xf numFmtId="49" fontId="57" fillId="3" borderId="5" xfId="0" applyNumberFormat="1" applyFont="1" applyFill="1" applyBorder="1" applyAlignment="1">
      <alignment horizontal="center" vertical="center"/>
    </xf>
    <xf numFmtId="0" fontId="57" fillId="3" borderId="1" xfId="0" applyFont="1" applyFill="1" applyBorder="1" applyAlignment="1">
      <alignment horizontal="left" vertical="center"/>
    </xf>
    <xf numFmtId="164" fontId="57" fillId="3" borderId="1" xfId="1" applyNumberFormat="1" applyFont="1" applyFill="1" applyBorder="1" applyAlignment="1">
      <alignment horizontal="center" vertical="center"/>
    </xf>
    <xf numFmtId="49" fontId="57" fillId="3" borderId="1" xfId="0" applyNumberFormat="1" applyFont="1" applyFill="1" applyBorder="1" applyAlignment="1">
      <alignment horizontal="center" vertical="center"/>
    </xf>
    <xf numFmtId="0" fontId="58" fillId="3" borderId="5" xfId="0" applyFont="1" applyFill="1" applyBorder="1" applyAlignment="1">
      <alignment horizontal="center" vertical="center"/>
    </xf>
    <xf numFmtId="0" fontId="58" fillId="3" borderId="5" xfId="0" applyFont="1" applyFill="1" applyBorder="1" applyAlignment="1">
      <alignment horizontal="left" vertical="center"/>
    </xf>
    <xf numFmtId="165" fontId="57" fillId="26" borderId="5" xfId="1" applyNumberFormat="1" applyFont="1" applyFill="1" applyBorder="1" applyAlignment="1">
      <alignment horizontal="center" vertical="center"/>
    </xf>
    <xf numFmtId="0" fontId="58" fillId="26" borderId="5" xfId="1" applyNumberFormat="1" applyFont="1" applyFill="1" applyBorder="1" applyAlignment="1">
      <alignment horizontal="left" vertical="center" wrapText="1"/>
    </xf>
    <xf numFmtId="0" fontId="57" fillId="26" borderId="5" xfId="1" applyNumberFormat="1" applyFont="1" applyFill="1" applyBorder="1" applyAlignment="1">
      <alignment horizontal="center" vertical="center"/>
    </xf>
    <xf numFmtId="0" fontId="59" fillId="2" borderId="5" xfId="0" applyFont="1" applyFill="1" applyBorder="1" applyAlignment="1">
      <alignment horizontal="left" vertical="center"/>
    </xf>
    <xf numFmtId="38" fontId="57" fillId="0" borderId="5" xfId="1" applyNumberFormat="1" applyFont="1" applyBorder="1" applyAlignment="1">
      <alignment horizontal="right" vertical="center"/>
    </xf>
    <xf numFmtId="0" fontId="58" fillId="2" borderId="5" xfId="0" applyFont="1" applyFill="1" applyBorder="1" applyAlignment="1">
      <alignment horizontal="center" vertical="center"/>
    </xf>
    <xf numFmtId="0" fontId="57" fillId="2" borderId="5" xfId="0" applyFont="1" applyFill="1" applyBorder="1" applyAlignment="1">
      <alignment horizontal="left" vertical="center"/>
    </xf>
    <xf numFmtId="164" fontId="57" fillId="11" borderId="5" xfId="1" applyNumberFormat="1" applyFont="1" applyFill="1" applyBorder="1" applyAlignment="1">
      <alignment horizontal="center" vertical="center"/>
    </xf>
    <xf numFmtId="3" fontId="58" fillId="0" borderId="5" xfId="0" applyNumberFormat="1" applyFont="1" applyBorder="1" applyAlignment="1">
      <alignment vertical="center" wrapText="1"/>
    </xf>
    <xf numFmtId="3" fontId="57" fillId="0" borderId="5" xfId="0" applyNumberFormat="1" applyFont="1" applyBorder="1" applyAlignment="1">
      <alignment horizontal="center" vertical="center"/>
    </xf>
    <xf numFmtId="0" fontId="58" fillId="11" borderId="5" xfId="0" applyFont="1" applyFill="1" applyBorder="1" applyAlignment="1">
      <alignment horizontal="left" vertical="center"/>
    </xf>
    <xf numFmtId="0" fontId="57" fillId="11" borderId="5" xfId="0" applyFont="1" applyFill="1" applyBorder="1" applyAlignment="1">
      <alignment horizontal="left" vertical="center"/>
    </xf>
    <xf numFmtId="165" fontId="57" fillId="11" borderId="5" xfId="4" applyNumberFormat="1" applyFont="1" applyFill="1" applyBorder="1" applyAlignment="1">
      <alignment horizontal="center" vertical="center"/>
    </xf>
    <xf numFmtId="0" fontId="41" fillId="0" borderId="0" xfId="0" applyFont="1" applyAlignment="1">
      <alignment horizontal="left" vertical="top" indent="1"/>
    </xf>
    <xf numFmtId="0" fontId="40" fillId="0" borderId="0" xfId="0" applyFont="1" applyAlignment="1">
      <alignment horizontal="left" vertical="top" indent="1"/>
    </xf>
    <xf numFmtId="0" fontId="0" fillId="0" borderId="0" xfId="0" applyAlignment="1">
      <alignment horizontal="left" vertical="top" indent="1"/>
    </xf>
    <xf numFmtId="0" fontId="0" fillId="0" borderId="0" xfId="0" applyAlignment="1">
      <alignment horizontal="left" indent="1"/>
    </xf>
    <xf numFmtId="165" fontId="12" fillId="21" borderId="8" xfId="1" applyNumberFormat="1" applyFont="1" applyFill="1" applyBorder="1" applyAlignment="1">
      <alignment horizontal="center" vertical="center"/>
    </xf>
    <xf numFmtId="165" fontId="12" fillId="31" borderId="9" xfId="1" applyNumberFormat="1" applyFont="1" applyFill="1" applyBorder="1" applyAlignment="1">
      <alignment horizontal="center" vertical="center"/>
    </xf>
    <xf numFmtId="0" fontId="0" fillId="24" borderId="0" xfId="0" applyFill="1" applyAlignment="1">
      <alignment horizontal="left" vertical="top" indent="1"/>
    </xf>
    <xf numFmtId="0" fontId="0" fillId="24" borderId="0" xfId="0" applyFill="1" applyAlignment="1">
      <alignment vertical="top"/>
    </xf>
    <xf numFmtId="49" fontId="0" fillId="24" borderId="0" xfId="0" applyNumberFormat="1" applyFill="1" applyAlignment="1">
      <alignment vertical="top"/>
    </xf>
    <xf numFmtId="0" fontId="0" fillId="24" borderId="0" xfId="0" applyFill="1" applyAlignment="1">
      <alignment vertical="top" wrapText="1"/>
    </xf>
    <xf numFmtId="0" fontId="2" fillId="0" borderId="10" xfId="0" applyFont="1" applyBorder="1"/>
    <xf numFmtId="0" fontId="0" fillId="0" borderId="10" xfId="0" applyBorder="1"/>
    <xf numFmtId="0" fontId="0" fillId="0" borderId="10" xfId="0" applyBorder="1" applyAlignment="1">
      <alignment horizontal="center" vertical="center"/>
    </xf>
    <xf numFmtId="165" fontId="0" fillId="0" borderId="10" xfId="0" applyNumberFormat="1" applyBorder="1" applyAlignment="1">
      <alignment horizontal="center" vertical="center"/>
    </xf>
    <xf numFmtId="0" fontId="0" fillId="0" borderId="10" xfId="0" applyBorder="1" applyAlignment="1">
      <alignment wrapText="1"/>
    </xf>
    <xf numFmtId="0" fontId="60" fillId="0" borderId="5" xfId="0" applyFont="1" applyBorder="1"/>
    <xf numFmtId="0" fontId="61" fillId="0" borderId="5" xfId="0" applyFont="1" applyBorder="1"/>
    <xf numFmtId="42" fontId="62" fillId="0" borderId="5" xfId="4" applyNumberFormat="1" applyFont="1" applyBorder="1" applyAlignment="1">
      <alignment vertical="top"/>
    </xf>
    <xf numFmtId="42" fontId="12" fillId="0" borderId="5" xfId="4" applyNumberFormat="1" applyFont="1" applyFill="1" applyBorder="1" applyAlignment="1">
      <alignment vertical="center"/>
    </xf>
    <xf numFmtId="42" fontId="0" fillId="0" borderId="5" xfId="4" applyNumberFormat="1" applyFont="1" applyFill="1" applyBorder="1" applyAlignment="1"/>
    <xf numFmtId="0" fontId="49" fillId="2" borderId="22" xfId="0" applyFont="1" applyFill="1" applyBorder="1"/>
    <xf numFmtId="6" fontId="49" fillId="2" borderId="22" xfId="0" applyNumberFormat="1" applyFont="1" applyFill="1" applyBorder="1" applyAlignment="1">
      <alignment horizontal="center" vertical="center" wrapText="1"/>
    </xf>
    <xf numFmtId="0" fontId="0" fillId="2" borderId="0" xfId="0" applyFill="1"/>
    <xf numFmtId="42" fontId="0" fillId="0" borderId="5" xfId="4" applyNumberFormat="1" applyFont="1" applyFill="1" applyBorder="1" applyAlignment="1">
      <alignment vertical="top"/>
    </xf>
    <xf numFmtId="165" fontId="0" fillId="0" borderId="0" xfId="0" applyNumberFormat="1"/>
    <xf numFmtId="0" fontId="61" fillId="3" borderId="5" xfId="0" applyFont="1" applyFill="1" applyBorder="1" applyAlignment="1">
      <alignment horizontal="left" vertical="center"/>
    </xf>
    <xf numFmtId="164" fontId="61" fillId="26" borderId="5" xfId="1" applyNumberFormat="1" applyFont="1" applyFill="1" applyBorder="1" applyAlignment="1">
      <alignment horizontal="center" vertical="center"/>
    </xf>
    <xf numFmtId="164" fontId="61" fillId="3" borderId="5" xfId="1" applyNumberFormat="1" applyFont="1" applyFill="1" applyBorder="1" applyAlignment="1">
      <alignment horizontal="center" vertical="center"/>
    </xf>
    <xf numFmtId="165" fontId="61" fillId="0" borderId="5" xfId="4" applyNumberFormat="1" applyFont="1" applyFill="1" applyBorder="1" applyAlignment="1">
      <alignment horizontal="center" vertical="center"/>
    </xf>
    <xf numFmtId="0" fontId="61" fillId="3" borderId="5" xfId="0" applyFont="1" applyFill="1" applyBorder="1" applyAlignment="1">
      <alignment horizontal="left" vertical="center" wrapText="1"/>
    </xf>
    <xf numFmtId="49" fontId="61" fillId="26" borderId="5" xfId="1" applyNumberFormat="1" applyFont="1" applyFill="1" applyBorder="1" applyAlignment="1">
      <alignment horizontal="center" vertical="center"/>
    </xf>
    <xf numFmtId="49" fontId="61" fillId="3" borderId="5" xfId="0" applyNumberFormat="1" applyFont="1" applyFill="1" applyBorder="1" applyAlignment="1">
      <alignment horizontal="center" vertical="center"/>
    </xf>
    <xf numFmtId="0" fontId="61" fillId="3" borderId="1" xfId="0" applyFont="1" applyFill="1" applyBorder="1" applyAlignment="1">
      <alignment horizontal="left" vertical="center"/>
    </xf>
    <xf numFmtId="164" fontId="61" fillId="3" borderId="1" xfId="1" applyNumberFormat="1" applyFont="1" applyFill="1" applyBorder="1" applyAlignment="1">
      <alignment horizontal="center" vertical="center"/>
    </xf>
    <xf numFmtId="49" fontId="61" fillId="3" borderId="1" xfId="0" applyNumberFormat="1" applyFont="1" applyFill="1" applyBorder="1" applyAlignment="1">
      <alignment horizontal="center" vertical="center"/>
    </xf>
    <xf numFmtId="0" fontId="60" fillId="3" borderId="5" xfId="0" applyFont="1" applyFill="1" applyBorder="1" applyAlignment="1">
      <alignment horizontal="center" vertical="center"/>
    </xf>
    <xf numFmtId="0" fontId="60" fillId="3" borderId="5" xfId="0" applyFont="1" applyFill="1" applyBorder="1" applyAlignment="1">
      <alignment horizontal="left" vertical="center"/>
    </xf>
    <xf numFmtId="165" fontId="61" fillId="26" borderId="5" xfId="1" applyNumberFormat="1" applyFont="1" applyFill="1" applyBorder="1" applyAlignment="1">
      <alignment horizontal="center" vertical="center"/>
    </xf>
    <xf numFmtId="0" fontId="60" fillId="26" borderId="5" xfId="1" applyNumberFormat="1" applyFont="1" applyFill="1" applyBorder="1" applyAlignment="1">
      <alignment horizontal="left" vertical="center" wrapText="1"/>
    </xf>
    <xf numFmtId="0" fontId="61" fillId="26" borderId="5" xfId="1" applyNumberFormat="1" applyFont="1" applyFill="1" applyBorder="1" applyAlignment="1">
      <alignment horizontal="center" vertical="center"/>
    </xf>
    <xf numFmtId="0" fontId="61" fillId="0" borderId="0" xfId="0" applyFont="1"/>
    <xf numFmtId="0" fontId="61" fillId="0" borderId="0" xfId="0" applyFont="1" applyAlignment="1">
      <alignment wrapText="1"/>
    </xf>
    <xf numFmtId="165" fontId="61" fillId="3" borderId="1" xfId="0" applyNumberFormat="1" applyFont="1" applyFill="1" applyBorder="1" applyAlignment="1">
      <alignment vertical="center" wrapText="1"/>
    </xf>
    <xf numFmtId="0" fontId="12" fillId="0" borderId="8" xfId="0" applyFont="1" applyBorder="1" applyAlignment="1">
      <alignment vertical="top"/>
    </xf>
    <xf numFmtId="0" fontId="12" fillId="0" borderId="0" xfId="0" applyFont="1"/>
    <xf numFmtId="0" fontId="2" fillId="0" borderId="21" xfId="0" applyFont="1" applyBorder="1"/>
    <xf numFmtId="0" fontId="12" fillId="0" borderId="0" xfId="0" applyFont="1" applyAlignment="1">
      <alignment vertical="top"/>
    </xf>
    <xf numFmtId="0" fontId="12" fillId="0" borderId="23" xfId="0" applyFont="1" applyBorder="1" applyAlignment="1">
      <alignment vertical="top"/>
    </xf>
    <xf numFmtId="0" fontId="12" fillId="0" borderId="1" xfId="0" applyFont="1" applyBorder="1" applyAlignment="1">
      <alignment vertical="top"/>
    </xf>
    <xf numFmtId="165" fontId="12" fillId="2" borderId="5" xfId="1" applyNumberFormat="1" applyFont="1" applyFill="1" applyBorder="1" applyAlignment="1">
      <alignment horizontal="center" vertical="center"/>
    </xf>
    <xf numFmtId="0" fontId="12" fillId="9" borderId="8" xfId="0" applyFont="1" applyFill="1" applyBorder="1" applyAlignment="1">
      <alignment horizontal="left" vertical="center"/>
    </xf>
    <xf numFmtId="0" fontId="12" fillId="9" borderId="9" xfId="0" applyFont="1" applyFill="1" applyBorder="1" applyAlignment="1">
      <alignment horizontal="left" vertical="center"/>
    </xf>
    <xf numFmtId="0" fontId="62" fillId="0" borderId="5" xfId="0" applyFont="1" applyBorder="1" applyAlignment="1">
      <alignment horizontal="center" vertical="center"/>
    </xf>
    <xf numFmtId="3" fontId="62" fillId="0" borderId="5" xfId="0" applyNumberFormat="1" applyFont="1" applyBorder="1" applyAlignment="1">
      <alignment horizontal="center" vertical="center"/>
    </xf>
    <xf numFmtId="0" fontId="62" fillId="9" borderId="5" xfId="0" applyFont="1" applyFill="1" applyBorder="1" applyAlignment="1">
      <alignment horizontal="center" vertical="center"/>
    </xf>
    <xf numFmtId="0" fontId="47" fillId="0" borderId="5" xfId="0" applyFont="1" applyBorder="1" applyAlignment="1">
      <alignment horizontal="center" vertical="center"/>
    </xf>
    <xf numFmtId="0" fontId="50" fillId="9" borderId="5" xfId="0" applyFont="1" applyFill="1" applyBorder="1" applyAlignment="1">
      <alignment horizontal="left" vertical="center"/>
    </xf>
    <xf numFmtId="0" fontId="12" fillId="2" borderId="5" xfId="0" applyFont="1" applyFill="1" applyBorder="1" applyAlignment="1">
      <alignment horizontal="center" vertical="center"/>
    </xf>
    <xf numFmtId="17" fontId="12" fillId="2" borderId="5" xfId="0" applyNumberFormat="1" applyFont="1" applyFill="1" applyBorder="1" applyAlignment="1">
      <alignment horizontal="center" vertical="center"/>
    </xf>
    <xf numFmtId="165" fontId="12" fillId="2" borderId="5" xfId="0" applyNumberFormat="1" applyFont="1" applyFill="1" applyBorder="1" applyAlignment="1">
      <alignment horizontal="center" vertical="center"/>
    </xf>
    <xf numFmtId="0" fontId="2" fillId="2" borderId="5" xfId="0" applyFont="1" applyFill="1" applyBorder="1" applyAlignment="1">
      <alignment horizontal="center" vertical="center" wrapText="1"/>
    </xf>
    <xf numFmtId="0" fontId="62" fillId="2" borderId="5" xfId="0" applyFont="1" applyFill="1" applyBorder="1" applyAlignment="1">
      <alignment horizontal="center" vertical="center"/>
    </xf>
    <xf numFmtId="0" fontId="0" fillId="2" borderId="9" xfId="0" applyFill="1" applyBorder="1"/>
    <xf numFmtId="0" fontId="0" fillId="2" borderId="5" xfId="0" applyFill="1" applyBorder="1" applyAlignment="1">
      <alignment vertical="center"/>
    </xf>
    <xf numFmtId="0" fontId="41" fillId="0" borderId="0" xfId="0" applyFont="1"/>
    <xf numFmtId="0" fontId="58" fillId="0" borderId="0" xfId="0" applyFont="1" applyAlignment="1">
      <alignment horizontal="left" vertical="top" indent="1"/>
    </xf>
    <xf numFmtId="0" fontId="58" fillId="0" borderId="0" xfId="0" applyFont="1" applyAlignment="1">
      <alignment vertical="top"/>
    </xf>
    <xf numFmtId="0" fontId="58" fillId="0" borderId="0" xfId="0" applyFont="1" applyAlignment="1">
      <alignment vertical="top" wrapText="1"/>
    </xf>
    <xf numFmtId="0" fontId="57" fillId="0" borderId="0" xfId="0" applyFont="1" applyAlignment="1">
      <alignment horizontal="left" vertical="top" indent="1"/>
    </xf>
    <xf numFmtId="49" fontId="57" fillId="0" borderId="0" xfId="0" applyNumberFormat="1" applyFont="1" applyAlignment="1">
      <alignment vertical="top"/>
    </xf>
    <xf numFmtId="0" fontId="57" fillId="0" borderId="0" xfId="0" applyFont="1" applyAlignment="1">
      <alignment vertical="top" wrapText="1"/>
    </xf>
    <xf numFmtId="0" fontId="63" fillId="0" borderId="0" xfId="0" applyFont="1" applyAlignment="1">
      <alignment vertical="top" wrapText="1"/>
    </xf>
    <xf numFmtId="0" fontId="57" fillId="24" borderId="0" xfId="0" applyFont="1" applyFill="1" applyAlignment="1">
      <alignment horizontal="left" vertical="top" indent="1"/>
    </xf>
    <xf numFmtId="0" fontId="57" fillId="24" borderId="0" xfId="0" applyFont="1" applyFill="1" applyAlignment="1">
      <alignment vertical="top"/>
    </xf>
    <xf numFmtId="49" fontId="57" fillId="24" borderId="0" xfId="0" applyNumberFormat="1" applyFont="1" applyFill="1" applyAlignment="1">
      <alignment vertical="top"/>
    </xf>
    <xf numFmtId="0" fontId="57" fillId="24" borderId="0" xfId="0" applyFont="1" applyFill="1" applyAlignment="1">
      <alignment vertical="top" wrapText="1"/>
    </xf>
    <xf numFmtId="0" fontId="2" fillId="0" borderId="10" xfId="0" applyFont="1" applyBorder="1" applyAlignment="1">
      <alignment horizontal="center" vertical="center"/>
    </xf>
    <xf numFmtId="0" fontId="13" fillId="2" borderId="5" xfId="0" applyFont="1" applyFill="1" applyBorder="1" applyAlignment="1">
      <alignment horizontal="left" vertical="center" wrapText="1"/>
    </xf>
    <xf numFmtId="0" fontId="2" fillId="0" borderId="5" xfId="0" applyFont="1" applyBorder="1" applyAlignment="1">
      <alignment horizontal="center" vertical="center"/>
    </xf>
    <xf numFmtId="0" fontId="16" fillId="0" borderId="0" xfId="0" applyFont="1" applyAlignment="1">
      <alignment wrapText="1"/>
    </xf>
  </cellXfs>
  <cellStyles count="5">
    <cellStyle name="Comma" xfId="4" builtinId="3"/>
    <cellStyle name="Currency" xfId="1" builtinId="4"/>
    <cellStyle name="Currency 2" xfId="3" xr:uid="{26EB0212-D979-4E91-B161-E486DE98AFC7}"/>
    <cellStyle name="Normal" xfId="0" builtinId="0" customBuiltin="1"/>
    <cellStyle name="Normal 2" xfId="2" xr:uid="{648156D5-816A-4424-9C57-C70FA3C94B9F}"/>
  </cellStyles>
  <dxfs count="38">
    <dxf>
      <alignment vertical="top"/>
    </dxf>
    <dxf>
      <alignment vertical="top"/>
    </dxf>
    <dxf>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alignment vertical="top"/>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vertical="top"/>
    </dxf>
    <dxf>
      <font>
        <color theme="0"/>
      </font>
      <alignment vertical="top"/>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9C0006"/>
      </font>
      <fill>
        <patternFill>
          <bgColor rgb="FFFFC7CE"/>
        </patternFill>
      </fill>
    </dxf>
  </dxfs>
  <tableStyles count="0" defaultTableStyle="TableStyleMedium2" defaultPivotStyle="PivotStyleLight16"/>
  <colors>
    <mruColors>
      <color rgb="FF66FFFF"/>
      <color rgb="FFB5E6A2"/>
      <color rgb="FF1B09BD"/>
      <color rgb="FF40661F"/>
      <color rgb="FF387D73"/>
      <color rgb="FF0D6E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9DBCD0-ABBD-4894-B26A-CCE99572529B}" name="Table2" displayName="Table2" ref="A1:D12" totalsRowShown="0" headerRowDxfId="6" dataDxfId="5" tableBorderDxfId="4">
  <autoFilter ref="A1:D12" xr:uid="{059DBCD0-ABBD-4894-B26A-CCE99572529B}"/>
  <tableColumns count="4">
    <tableColumn id="1" xr3:uid="{4A5F3EA9-47DE-44B9-9CEA-027ACE7F0E25}" name="Client" dataDxfId="3"/>
    <tableColumn id="2" xr3:uid="{46E49D7F-7995-48F7-AF55-C184376239D9}" name="Growth Oppurtunities" dataDxfId="2"/>
    <tableColumn id="3" xr3:uid="{BD580913-E689-44C0-9947-235488672127}" name="Neeraj Comments" dataDxfId="1"/>
    <tableColumn id="4" xr3:uid="{4CDAED7D-1472-418C-B2DA-3C8DBC7DE693}" name="Column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A1E73-11EA-4138-823C-C06AD6B56340}">
  <dimension ref="A1:T29"/>
  <sheetViews>
    <sheetView workbookViewId="0">
      <pane xSplit="3" ySplit="2" topLeftCell="D3" activePane="bottomRight" state="frozen"/>
      <selection pane="bottomRight" activeCell="D3" sqref="D3"/>
      <selection pane="bottomLeft"/>
      <selection pane="topRight"/>
    </sheetView>
  </sheetViews>
  <sheetFormatPr defaultRowHeight="12.75"/>
  <cols>
    <col min="1" max="1" width="17.140625" bestFit="1" customWidth="1"/>
    <col min="2" max="2" width="17.42578125" customWidth="1"/>
    <col min="17" max="17" width="15.85546875" customWidth="1"/>
    <col min="18" max="18" width="18.5703125" bestFit="1" customWidth="1"/>
    <col min="20" max="20" width="17.28515625" customWidth="1"/>
  </cols>
  <sheetData>
    <row r="1" spans="1:20">
      <c r="D1" t="s">
        <v>0</v>
      </c>
      <c r="E1" t="s">
        <v>0</v>
      </c>
      <c r="F1" t="s">
        <v>0</v>
      </c>
      <c r="G1" t="s">
        <v>0</v>
      </c>
      <c r="H1" t="s">
        <v>0</v>
      </c>
      <c r="I1" t="s">
        <v>0</v>
      </c>
      <c r="J1" t="s">
        <v>0</v>
      </c>
      <c r="K1" t="s">
        <v>0</v>
      </c>
      <c r="L1" t="s">
        <v>0</v>
      </c>
      <c r="M1" t="s">
        <v>0</v>
      </c>
      <c r="N1" t="s">
        <v>0</v>
      </c>
      <c r="O1" t="s">
        <v>0</v>
      </c>
    </row>
    <row r="2" spans="1:20">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row>
    <row r="3" spans="1:20">
      <c r="C3" t="s">
        <v>21</v>
      </c>
      <c r="T3" t="s">
        <v>22</v>
      </c>
    </row>
    <row r="4" spans="1:20">
      <c r="C4" t="s">
        <v>21</v>
      </c>
      <c r="T4" t="s">
        <v>22</v>
      </c>
    </row>
    <row r="5" spans="1:20">
      <c r="C5" t="s">
        <v>21</v>
      </c>
      <c r="T5" t="s">
        <v>22</v>
      </c>
    </row>
    <row r="6" spans="1:20">
      <c r="C6" t="s">
        <v>21</v>
      </c>
      <c r="T6" t="s">
        <v>22</v>
      </c>
    </row>
    <row r="7" spans="1:20">
      <c r="C7" t="s">
        <v>21</v>
      </c>
      <c r="T7" t="s">
        <v>22</v>
      </c>
    </row>
    <row r="8" spans="1:20">
      <c r="C8" t="s">
        <v>21</v>
      </c>
      <c r="T8" t="s">
        <v>22</v>
      </c>
    </row>
    <row r="9" spans="1:20">
      <c r="C9" t="s">
        <v>21</v>
      </c>
      <c r="T9" t="s">
        <v>22</v>
      </c>
    </row>
    <row r="10" spans="1:20">
      <c r="C10" t="s">
        <v>21</v>
      </c>
      <c r="T10" t="s">
        <v>22</v>
      </c>
    </row>
    <row r="11" spans="1:20">
      <c r="C11" t="s">
        <v>21</v>
      </c>
      <c r="T11" t="s">
        <v>22</v>
      </c>
    </row>
    <row r="12" spans="1:20">
      <c r="C12" t="s">
        <v>21</v>
      </c>
      <c r="T12" t="s">
        <v>22</v>
      </c>
    </row>
    <row r="13" spans="1:20">
      <c r="A13" t="s">
        <v>23</v>
      </c>
      <c r="D13">
        <f>SUM(D3:D12)</f>
        <v>0</v>
      </c>
      <c r="E13">
        <f t="shared" ref="E13:P13" si="0">SUM(E3:E12)</f>
        <v>0</v>
      </c>
      <c r="F13">
        <f t="shared" si="0"/>
        <v>0</v>
      </c>
      <c r="G13">
        <f t="shared" si="0"/>
        <v>0</v>
      </c>
      <c r="H13">
        <f t="shared" si="0"/>
        <v>0</v>
      </c>
      <c r="I13">
        <f t="shared" si="0"/>
        <v>0</v>
      </c>
      <c r="J13">
        <f t="shared" si="0"/>
        <v>0</v>
      </c>
      <c r="K13">
        <f t="shared" si="0"/>
        <v>0</v>
      </c>
      <c r="L13">
        <f t="shared" si="0"/>
        <v>0</v>
      </c>
      <c r="M13">
        <f t="shared" si="0"/>
        <v>0</v>
      </c>
      <c r="N13">
        <f t="shared" si="0"/>
        <v>0</v>
      </c>
      <c r="O13">
        <f t="shared" si="0"/>
        <v>0</v>
      </c>
      <c r="P13">
        <f t="shared" si="0"/>
        <v>0</v>
      </c>
    </row>
    <row r="15" spans="1:20">
      <c r="C15" t="s">
        <v>21</v>
      </c>
    </row>
    <row r="16" spans="1:20">
      <c r="C16" t="s">
        <v>21</v>
      </c>
      <c r="T16" t="s">
        <v>24</v>
      </c>
    </row>
    <row r="17" spans="1:20">
      <c r="C17" t="s">
        <v>21</v>
      </c>
      <c r="T17" t="s">
        <v>24</v>
      </c>
    </row>
    <row r="18" spans="1:20">
      <c r="C18" t="s">
        <v>21</v>
      </c>
      <c r="T18" t="s">
        <v>24</v>
      </c>
    </row>
    <row r="19" spans="1:20">
      <c r="C19" t="s">
        <v>21</v>
      </c>
      <c r="T19" t="s">
        <v>24</v>
      </c>
    </row>
    <row r="20" spans="1:20">
      <c r="C20" t="s">
        <v>21</v>
      </c>
      <c r="T20" t="s">
        <v>24</v>
      </c>
    </row>
    <row r="21" spans="1:20">
      <c r="C21" t="s">
        <v>21</v>
      </c>
      <c r="T21" t="s">
        <v>24</v>
      </c>
    </row>
    <row r="22" spans="1:20">
      <c r="C22" t="s">
        <v>21</v>
      </c>
      <c r="T22" t="s">
        <v>24</v>
      </c>
    </row>
    <row r="23" spans="1:20">
      <c r="C23" t="s">
        <v>21</v>
      </c>
      <c r="T23" t="s">
        <v>24</v>
      </c>
    </row>
    <row r="24" spans="1:20">
      <c r="C24" t="s">
        <v>21</v>
      </c>
      <c r="T24" t="s">
        <v>24</v>
      </c>
    </row>
    <row r="25" spans="1:20">
      <c r="C25" t="s">
        <v>21</v>
      </c>
      <c r="T25" t="s">
        <v>24</v>
      </c>
    </row>
    <row r="26" spans="1:20">
      <c r="C26" t="s">
        <v>21</v>
      </c>
      <c r="T26" t="s">
        <v>24</v>
      </c>
    </row>
    <row r="27" spans="1:20">
      <c r="A27" t="s">
        <v>25</v>
      </c>
      <c r="D27">
        <f>SUM(D15:D26)</f>
        <v>0</v>
      </c>
      <c r="E27">
        <f t="shared" ref="E27:P27" si="1">SUM(E15:E26)</f>
        <v>0</v>
      </c>
      <c r="F27">
        <f t="shared" si="1"/>
        <v>0</v>
      </c>
      <c r="G27">
        <f t="shared" si="1"/>
        <v>0</v>
      </c>
      <c r="H27">
        <f t="shared" si="1"/>
        <v>0</v>
      </c>
      <c r="I27">
        <f t="shared" si="1"/>
        <v>0</v>
      </c>
      <c r="J27">
        <f t="shared" si="1"/>
        <v>0</v>
      </c>
      <c r="K27">
        <f t="shared" si="1"/>
        <v>0</v>
      </c>
      <c r="L27">
        <f t="shared" si="1"/>
        <v>0</v>
      </c>
      <c r="M27">
        <f t="shared" si="1"/>
        <v>0</v>
      </c>
      <c r="N27">
        <f t="shared" si="1"/>
        <v>0</v>
      </c>
      <c r="O27">
        <f t="shared" si="1"/>
        <v>0</v>
      </c>
      <c r="P27">
        <f t="shared" si="1"/>
        <v>0</v>
      </c>
    </row>
    <row r="29" spans="1:20">
      <c r="A29" t="s">
        <v>26</v>
      </c>
      <c r="D29">
        <f>+D13+D27</f>
        <v>0</v>
      </c>
      <c r="E29">
        <f t="shared" ref="E29:P29" si="2">+E13+E27</f>
        <v>0</v>
      </c>
      <c r="F29">
        <f t="shared" si="2"/>
        <v>0</v>
      </c>
      <c r="G29">
        <f t="shared" si="2"/>
        <v>0</v>
      </c>
      <c r="H29">
        <f t="shared" si="2"/>
        <v>0</v>
      </c>
      <c r="I29">
        <f t="shared" si="2"/>
        <v>0</v>
      </c>
      <c r="J29">
        <f t="shared" si="2"/>
        <v>0</v>
      </c>
      <c r="K29">
        <f t="shared" si="2"/>
        <v>0</v>
      </c>
      <c r="L29">
        <f t="shared" si="2"/>
        <v>0</v>
      </c>
      <c r="M29">
        <f t="shared" si="2"/>
        <v>0</v>
      </c>
      <c r="N29">
        <f t="shared" si="2"/>
        <v>0</v>
      </c>
      <c r="O29">
        <f t="shared" si="2"/>
        <v>0</v>
      </c>
      <c r="P29">
        <f t="shared" si="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C318B-75F6-4874-B4C7-05026E2850CF}">
  <sheetPr>
    <tabColor theme="8"/>
  </sheetPr>
  <dimension ref="A1:V34"/>
  <sheetViews>
    <sheetView zoomScaleNormal="100" workbookViewId="0">
      <selection activeCell="A4" sqref="A4"/>
    </sheetView>
  </sheetViews>
  <sheetFormatPr defaultColWidth="9.28515625" defaultRowHeight="19.5" customHeight="1"/>
  <cols>
    <col min="1" max="1" width="29.42578125" customWidth="1"/>
    <col min="2" max="2" width="14.5703125" bestFit="1" customWidth="1"/>
    <col min="3" max="3" width="6.85546875" customWidth="1"/>
    <col min="4" max="8" width="9" customWidth="1"/>
    <col min="9" max="9" width="9" bestFit="1" customWidth="1"/>
    <col min="10" max="15" width="9" customWidth="1"/>
    <col min="16" max="16" width="12" customWidth="1"/>
    <col min="17" max="17" width="31.5703125" customWidth="1"/>
    <col min="18" max="18" width="16.7109375" customWidth="1"/>
    <col min="19" max="19" width="17.5703125" bestFit="1" customWidth="1"/>
    <col min="20" max="20" width="12.28515625" customWidth="1"/>
    <col min="21" max="22" width="2.7109375" customWidth="1"/>
  </cols>
  <sheetData>
    <row r="1" spans="1:22" ht="12.75">
      <c r="A1" s="449"/>
      <c r="B1" s="449"/>
      <c r="C1" s="449"/>
      <c r="D1" s="450" t="s">
        <v>0</v>
      </c>
      <c r="E1" s="450" t="s">
        <v>0</v>
      </c>
      <c r="F1" s="450" t="s">
        <v>0</v>
      </c>
      <c r="G1" s="450" t="s">
        <v>0</v>
      </c>
      <c r="H1" s="450" t="s">
        <v>0</v>
      </c>
      <c r="I1" s="450" t="s">
        <v>0</v>
      </c>
      <c r="J1" s="450" t="s">
        <v>0</v>
      </c>
      <c r="K1" s="450" t="s">
        <v>0</v>
      </c>
      <c r="L1" s="450" t="s">
        <v>0</v>
      </c>
      <c r="M1" s="450" t="s">
        <v>0</v>
      </c>
      <c r="N1" s="450" t="s">
        <v>0</v>
      </c>
      <c r="O1" s="450" t="s">
        <v>0</v>
      </c>
      <c r="P1" s="451"/>
      <c r="Q1" s="452"/>
      <c r="R1" s="450"/>
      <c r="S1" s="438"/>
      <c r="T1" s="439"/>
      <c r="U1" s="439"/>
      <c r="V1" s="439"/>
    </row>
    <row r="2" spans="1:22" ht="13.5">
      <c r="A2" s="450" t="s">
        <v>1</v>
      </c>
      <c r="B2" s="450" t="s">
        <v>2</v>
      </c>
      <c r="C2" s="450" t="s">
        <v>3</v>
      </c>
      <c r="D2" s="453">
        <v>46023</v>
      </c>
      <c r="E2" s="453">
        <v>46054</v>
      </c>
      <c r="F2" s="453">
        <v>46082</v>
      </c>
      <c r="G2" s="453">
        <v>46113</v>
      </c>
      <c r="H2" s="453">
        <v>46143</v>
      </c>
      <c r="I2" s="453">
        <v>46174</v>
      </c>
      <c r="J2" s="453">
        <v>46204</v>
      </c>
      <c r="K2" s="453">
        <v>46235</v>
      </c>
      <c r="L2" s="453">
        <v>46266</v>
      </c>
      <c r="M2" s="453">
        <v>46296</v>
      </c>
      <c r="N2" s="453">
        <v>46327</v>
      </c>
      <c r="O2" s="453">
        <v>46357</v>
      </c>
      <c r="P2" s="451" t="s">
        <v>27</v>
      </c>
      <c r="Q2" s="454" t="s">
        <v>17</v>
      </c>
      <c r="R2" s="450" t="s">
        <v>18</v>
      </c>
      <c r="S2" s="450" t="s">
        <v>19</v>
      </c>
      <c r="T2" s="450" t="s">
        <v>20</v>
      </c>
      <c r="U2" s="439"/>
      <c r="V2" s="439"/>
    </row>
    <row r="3" spans="1:22" ht="12.75">
      <c r="A3" s="455" t="s">
        <v>21</v>
      </c>
      <c r="B3" s="455"/>
      <c r="C3" s="455"/>
      <c r="D3" s="456"/>
      <c r="E3" s="456"/>
      <c r="F3" s="456"/>
      <c r="G3" s="456"/>
      <c r="H3" s="456"/>
      <c r="I3" s="456"/>
      <c r="J3" s="456"/>
      <c r="K3" s="456"/>
      <c r="L3" s="456"/>
      <c r="M3" s="456"/>
      <c r="N3" s="456"/>
      <c r="O3" s="456"/>
      <c r="P3" s="457"/>
      <c r="Q3" s="440"/>
      <c r="R3" s="458"/>
      <c r="S3" s="438"/>
      <c r="T3" s="438"/>
      <c r="U3" s="439"/>
      <c r="V3" s="439"/>
    </row>
    <row r="4" spans="1:22" ht="13.5">
      <c r="A4" s="459" t="s">
        <v>28</v>
      </c>
      <c r="B4" s="459" t="s">
        <v>29</v>
      </c>
      <c r="C4" s="459" t="s">
        <v>21</v>
      </c>
      <c r="D4" s="441">
        <v>20276</v>
      </c>
      <c r="E4" s="441">
        <v>19180</v>
      </c>
      <c r="F4" s="441">
        <v>23290</v>
      </c>
      <c r="G4" s="441">
        <v>20139</v>
      </c>
      <c r="H4" s="460">
        <v>22194</v>
      </c>
      <c r="I4" s="441">
        <v>22194</v>
      </c>
      <c r="J4" s="441">
        <v>20276</v>
      </c>
      <c r="K4" s="441">
        <v>23290</v>
      </c>
      <c r="L4" s="441">
        <v>20139</v>
      </c>
      <c r="M4" s="441">
        <v>22194</v>
      </c>
      <c r="N4" s="441">
        <v>20139</v>
      </c>
      <c r="O4" s="441">
        <v>19180</v>
      </c>
      <c r="P4" s="441" cm="1">
        <f t="array" ref="P4">SUMPRODUCT((D$1:O$1&lt;&gt;"Margin")*(D$1:O$1&lt;&gt;"Salary_$600")*D4:O4)</f>
        <v>252491</v>
      </c>
      <c r="Q4" s="461" t="s">
        <v>30</v>
      </c>
      <c r="R4" s="462" t="s">
        <v>31</v>
      </c>
      <c r="S4" s="438" t="s">
        <v>32</v>
      </c>
      <c r="T4" s="438" t="s">
        <v>33</v>
      </c>
      <c r="U4" s="439"/>
      <c r="V4" s="439"/>
    </row>
    <row r="5" spans="1:22" ht="13.5">
      <c r="A5" s="459" t="s">
        <v>34</v>
      </c>
      <c r="B5" s="459" t="s">
        <v>29</v>
      </c>
      <c r="C5" s="459" t="s">
        <v>21</v>
      </c>
      <c r="D5" s="441">
        <v>11100</v>
      </c>
      <c r="E5" s="441">
        <v>10500</v>
      </c>
      <c r="F5" s="441">
        <v>12750</v>
      </c>
      <c r="G5" s="441">
        <v>11025</v>
      </c>
      <c r="H5" s="460">
        <v>12150</v>
      </c>
      <c r="I5" s="441">
        <v>12150</v>
      </c>
      <c r="J5" s="441">
        <v>11100</v>
      </c>
      <c r="K5" s="441">
        <v>12750</v>
      </c>
      <c r="L5" s="441">
        <v>11025</v>
      </c>
      <c r="M5" s="441">
        <v>12150</v>
      </c>
      <c r="N5" s="441">
        <v>11025</v>
      </c>
      <c r="O5" s="441">
        <v>10500</v>
      </c>
      <c r="P5" s="441" cm="1">
        <f t="array" ref="P5">SUMPRODUCT((D$1:O$1&lt;&gt;"Margin")*(D$1:O$1&lt;&gt;"Salary_$600")*D5:O5)</f>
        <v>138225</v>
      </c>
      <c r="Q5" s="461" t="s">
        <v>35</v>
      </c>
      <c r="R5" s="462" t="s">
        <v>31</v>
      </c>
      <c r="S5" s="438" t="s">
        <v>32</v>
      </c>
      <c r="T5" s="438" t="s">
        <v>33</v>
      </c>
      <c r="U5" s="439"/>
      <c r="V5" s="439"/>
    </row>
    <row r="6" spans="1:22" ht="13.5">
      <c r="A6" s="459" t="s">
        <v>36</v>
      </c>
      <c r="B6" s="459" t="s">
        <v>29</v>
      </c>
      <c r="C6" s="459" t="s">
        <v>21</v>
      </c>
      <c r="D6" s="441">
        <v>10656</v>
      </c>
      <c r="E6" s="441">
        <v>10080</v>
      </c>
      <c r="F6" s="441">
        <v>12240</v>
      </c>
      <c r="G6" s="441">
        <v>10584</v>
      </c>
      <c r="H6" s="460">
        <v>11664</v>
      </c>
      <c r="I6" s="441">
        <v>11664</v>
      </c>
      <c r="J6" s="441">
        <v>10656</v>
      </c>
      <c r="K6" s="441">
        <v>12240</v>
      </c>
      <c r="L6" s="441">
        <v>10584</v>
      </c>
      <c r="M6" s="441">
        <v>11664</v>
      </c>
      <c r="N6" s="441">
        <v>10584</v>
      </c>
      <c r="O6" s="441">
        <v>10080</v>
      </c>
      <c r="P6" s="441" cm="1">
        <f t="array" ref="P6">SUMPRODUCT((D$1:O$1&lt;&gt;"Margin")*(D$1:O$1&lt;&gt;"Salary_$600")*D6:O6)</f>
        <v>132696</v>
      </c>
      <c r="Q6" s="461" t="s">
        <v>37</v>
      </c>
      <c r="R6" s="462" t="s">
        <v>31</v>
      </c>
      <c r="S6" s="438" t="s">
        <v>32</v>
      </c>
      <c r="T6" s="438" t="s">
        <v>33</v>
      </c>
      <c r="U6" s="439"/>
      <c r="V6" s="439"/>
    </row>
    <row r="7" spans="1:22" ht="13.5">
      <c r="A7" s="459" t="s">
        <v>38</v>
      </c>
      <c r="B7" s="459" t="s">
        <v>29</v>
      </c>
      <c r="C7" s="459" t="s">
        <v>21</v>
      </c>
      <c r="D7" s="441">
        <v>18216</v>
      </c>
      <c r="E7" s="441">
        <v>17231</v>
      </c>
      <c r="F7" s="441">
        <v>20924</v>
      </c>
      <c r="G7" s="441">
        <v>18093</v>
      </c>
      <c r="H7" s="460">
        <v>19939</v>
      </c>
      <c r="I7" s="441">
        <v>19939</v>
      </c>
      <c r="J7" s="441">
        <v>18216</v>
      </c>
      <c r="K7" s="441">
        <v>20924</v>
      </c>
      <c r="L7" s="441">
        <v>18093</v>
      </c>
      <c r="M7" s="441">
        <v>19939</v>
      </c>
      <c r="N7" s="441">
        <v>18093</v>
      </c>
      <c r="O7" s="441">
        <v>17231</v>
      </c>
      <c r="P7" s="441" cm="1">
        <f t="array" ref="P7">SUMPRODUCT((D$1:O$1&lt;&gt;"Margin")*(D$1:O$1&lt;&gt;"Salary_$600")*D7:O7)</f>
        <v>226838</v>
      </c>
      <c r="Q7" s="461" t="s">
        <v>39</v>
      </c>
      <c r="R7" s="462" t="s">
        <v>31</v>
      </c>
      <c r="S7" s="438" t="s">
        <v>32</v>
      </c>
      <c r="T7" s="438" t="s">
        <v>33</v>
      </c>
      <c r="U7" s="439"/>
      <c r="V7" s="439"/>
    </row>
    <row r="8" spans="1:22" ht="13.5">
      <c r="A8" s="459" t="s">
        <v>40</v>
      </c>
      <c r="B8" s="459" t="s">
        <v>29</v>
      </c>
      <c r="C8" s="459" t="s">
        <v>21</v>
      </c>
      <c r="D8" s="441">
        <v>30932</v>
      </c>
      <c r="E8" s="441">
        <v>29260</v>
      </c>
      <c r="F8" s="441">
        <v>35530</v>
      </c>
      <c r="G8" s="441">
        <v>30723</v>
      </c>
      <c r="H8" s="460">
        <v>33858</v>
      </c>
      <c r="I8" s="441">
        <v>33858</v>
      </c>
      <c r="J8" s="441">
        <v>30932</v>
      </c>
      <c r="K8" s="441">
        <v>35530</v>
      </c>
      <c r="L8" s="441">
        <v>30723</v>
      </c>
      <c r="M8" s="441">
        <v>33858</v>
      </c>
      <c r="N8" s="441">
        <v>30723</v>
      </c>
      <c r="O8" s="441">
        <v>29260</v>
      </c>
      <c r="P8" s="441" cm="1">
        <f t="array" ref="P8">SUMPRODUCT((D$1:O$1&lt;&gt;"Margin")*(D$1:O$1&lt;&gt;"Salary_$600")*D8:O8)</f>
        <v>385187</v>
      </c>
      <c r="Q8" s="461" t="s">
        <v>30</v>
      </c>
      <c r="R8" s="462" t="s">
        <v>31</v>
      </c>
      <c r="S8" s="438" t="s">
        <v>32</v>
      </c>
      <c r="T8" s="438" t="s">
        <v>33</v>
      </c>
      <c r="U8" s="439"/>
      <c r="V8" s="439"/>
    </row>
    <row r="9" spans="1:22" ht="13.5">
      <c r="A9" s="459" t="s">
        <v>41</v>
      </c>
      <c r="B9" s="459" t="s">
        <v>29</v>
      </c>
      <c r="C9" s="459" t="s">
        <v>21</v>
      </c>
      <c r="D9" s="441">
        <v>14060</v>
      </c>
      <c r="E9" s="441">
        <v>13300</v>
      </c>
      <c r="F9" s="441">
        <v>16150</v>
      </c>
      <c r="G9" s="441">
        <v>13965</v>
      </c>
      <c r="H9" s="460">
        <v>15390</v>
      </c>
      <c r="I9" s="441">
        <v>15390</v>
      </c>
      <c r="J9" s="441">
        <v>14060</v>
      </c>
      <c r="K9" s="441">
        <v>16150</v>
      </c>
      <c r="L9" s="441">
        <v>13965</v>
      </c>
      <c r="M9" s="441">
        <v>15390</v>
      </c>
      <c r="N9" s="441">
        <v>13965</v>
      </c>
      <c r="O9" s="441">
        <v>13300</v>
      </c>
      <c r="P9" s="441" cm="1">
        <f t="array" ref="P9">SUMPRODUCT((D$1:O$1&lt;&gt;"Margin")*(D$1:O$1&lt;&gt;"Salary_$600")*D9:O9)</f>
        <v>175085</v>
      </c>
      <c r="Q9" s="461" t="s">
        <v>39</v>
      </c>
      <c r="R9" s="462" t="s">
        <v>31</v>
      </c>
      <c r="S9" s="438" t="s">
        <v>32</v>
      </c>
      <c r="T9" s="438" t="s">
        <v>33</v>
      </c>
      <c r="U9" s="439"/>
      <c r="V9" s="439"/>
    </row>
    <row r="10" spans="1:22" ht="13.5">
      <c r="A10" s="459" t="s">
        <v>42</v>
      </c>
      <c r="B10" s="459" t="s">
        <v>43</v>
      </c>
      <c r="C10" s="459" t="s">
        <v>21</v>
      </c>
      <c r="D10" s="441">
        <v>15453</v>
      </c>
      <c r="E10" s="441">
        <v>14617</v>
      </c>
      <c r="F10" s="441">
        <v>17750</v>
      </c>
      <c r="G10" s="441">
        <v>15348</v>
      </c>
      <c r="H10" s="460">
        <v>16914</v>
      </c>
      <c r="I10" s="441">
        <v>16914</v>
      </c>
      <c r="J10" s="441">
        <v>15453</v>
      </c>
      <c r="K10" s="441">
        <v>17750</v>
      </c>
      <c r="L10" s="441">
        <v>15348</v>
      </c>
      <c r="M10" s="441">
        <v>16914</v>
      </c>
      <c r="N10" s="441">
        <v>15348</v>
      </c>
      <c r="O10" s="441">
        <v>14617</v>
      </c>
      <c r="P10" s="441" cm="1">
        <f t="array" ref="P10">SUMPRODUCT((D$1:O$1&lt;&gt;"Margin")*(D$1:O$1&lt;&gt;"Salary_$600")*D10:O10)</f>
        <v>192426</v>
      </c>
      <c r="Q10" s="461" t="s">
        <v>44</v>
      </c>
      <c r="R10" s="462" t="s">
        <v>31</v>
      </c>
      <c r="S10" s="438" t="s">
        <v>45</v>
      </c>
      <c r="T10" s="438" t="s">
        <v>33</v>
      </c>
      <c r="U10" s="439"/>
      <c r="V10" s="439"/>
    </row>
    <row r="11" spans="1:22" ht="13.5">
      <c r="A11" s="459" t="s">
        <v>46</v>
      </c>
      <c r="B11" s="459" t="s">
        <v>47</v>
      </c>
      <c r="C11" s="459" t="s">
        <v>21</v>
      </c>
      <c r="D11" s="441"/>
      <c r="E11" s="441"/>
      <c r="F11" s="441"/>
      <c r="G11" s="441"/>
      <c r="H11" s="460"/>
      <c r="I11" s="441"/>
      <c r="J11" s="441"/>
      <c r="K11" s="441"/>
      <c r="L11" s="441"/>
      <c r="M11" s="441"/>
      <c r="N11" s="441"/>
      <c r="O11" s="441"/>
      <c r="P11" s="441" cm="1">
        <f t="array" ref="P11">SUMPRODUCT((D$1:O$1&lt;&gt;"Margin")*(D$1:O$1&lt;&gt;"Salary_$600")*D11:O11)</f>
        <v>0</v>
      </c>
      <c r="Q11" s="461" t="s">
        <v>48</v>
      </c>
      <c r="R11" s="462" t="s">
        <v>31</v>
      </c>
      <c r="S11" s="438" t="s">
        <v>49</v>
      </c>
      <c r="T11" s="438" t="s">
        <v>33</v>
      </c>
      <c r="U11" s="439"/>
      <c r="V11" s="439"/>
    </row>
    <row r="12" spans="1:22" ht="13.5">
      <c r="A12" s="459" t="s">
        <v>50</v>
      </c>
      <c r="B12" s="459" t="s">
        <v>29</v>
      </c>
      <c r="C12" s="459" t="s">
        <v>21</v>
      </c>
      <c r="D12" s="460">
        <v>14208</v>
      </c>
      <c r="E12" s="460">
        <v>13440</v>
      </c>
      <c r="F12" s="460">
        <v>16320</v>
      </c>
      <c r="G12" s="460">
        <v>14112</v>
      </c>
      <c r="H12" s="460">
        <v>15552</v>
      </c>
      <c r="I12" s="460">
        <v>15552</v>
      </c>
      <c r="J12" s="460">
        <v>14208</v>
      </c>
      <c r="K12" s="460">
        <v>16320</v>
      </c>
      <c r="L12" s="460">
        <v>1536</v>
      </c>
      <c r="M12" s="460">
        <v>0</v>
      </c>
      <c r="N12" s="460">
        <v>0</v>
      </c>
      <c r="O12" s="460">
        <v>0</v>
      </c>
      <c r="P12" s="460" cm="1">
        <f t="array" ref="P12">SUMPRODUCT((D$1:O$1&lt;&gt;"Margin")*(D$1:O$1&lt;&gt;"Salary_$600")*D12:O12)</f>
        <v>121248</v>
      </c>
      <c r="Q12" s="461" t="s">
        <v>51</v>
      </c>
      <c r="R12" s="463" t="s">
        <v>31</v>
      </c>
      <c r="S12" s="438" t="s">
        <v>52</v>
      </c>
      <c r="T12" s="438" t="s">
        <v>33</v>
      </c>
      <c r="U12" s="439"/>
      <c r="V12" s="439"/>
    </row>
    <row r="13" spans="1:22" ht="12.75">
      <c r="A13" s="464" t="s">
        <v>53</v>
      </c>
      <c r="B13" s="464" t="s">
        <v>54</v>
      </c>
      <c r="C13" s="464" t="s">
        <v>21</v>
      </c>
      <c r="D13" s="465">
        <v>4588</v>
      </c>
      <c r="E13" s="465">
        <v>4340</v>
      </c>
      <c r="F13" s="465">
        <v>5270</v>
      </c>
      <c r="G13" s="465">
        <v>4557</v>
      </c>
      <c r="H13" s="465">
        <v>5022</v>
      </c>
      <c r="I13" s="465">
        <v>5022</v>
      </c>
      <c r="J13" s="465">
        <v>4588</v>
      </c>
      <c r="K13" s="465">
        <v>5270</v>
      </c>
      <c r="L13" s="465">
        <v>4557</v>
      </c>
      <c r="M13" s="465">
        <v>5022</v>
      </c>
      <c r="N13" s="465">
        <v>4557</v>
      </c>
      <c r="O13" s="465">
        <v>4340</v>
      </c>
      <c r="P13" s="465" cm="1">
        <f t="array" ref="P13">SUMPRODUCT((D$1:O$1&lt;&gt;"Margin")*(D$1:O$1&lt;&gt;"Salary_$600")*D13:O13)</f>
        <v>57133</v>
      </c>
      <c r="Q13" s="442"/>
      <c r="R13" s="466" t="s">
        <v>31</v>
      </c>
      <c r="S13" s="443" t="s">
        <v>53</v>
      </c>
      <c r="T13" s="443" t="s">
        <v>55</v>
      </c>
      <c r="U13" s="439"/>
      <c r="V13" s="439"/>
    </row>
    <row r="14" spans="1:22" ht="12.75">
      <c r="A14" s="464" t="s">
        <v>56</v>
      </c>
      <c r="B14" s="464" t="s">
        <v>54</v>
      </c>
      <c r="C14" s="464" t="s">
        <v>21</v>
      </c>
      <c r="D14" s="465">
        <v>10804</v>
      </c>
      <c r="E14" s="465">
        <v>10220</v>
      </c>
      <c r="F14" s="465">
        <v>12410</v>
      </c>
      <c r="G14" s="465">
        <v>10731</v>
      </c>
      <c r="H14" s="465">
        <v>11826</v>
      </c>
      <c r="I14" s="465">
        <v>11826</v>
      </c>
      <c r="J14" s="465">
        <v>13432</v>
      </c>
      <c r="K14" s="465">
        <v>0</v>
      </c>
      <c r="L14" s="465">
        <v>0</v>
      </c>
      <c r="M14" s="465">
        <v>0</v>
      </c>
      <c r="N14" s="465">
        <v>0</v>
      </c>
      <c r="O14" s="465">
        <v>0</v>
      </c>
      <c r="P14" s="465" cm="1">
        <f t="array" ref="P14">SUMPRODUCT((D$1:O$1&lt;&gt;"Margin")*(D$1:O$1&lt;&gt;"Salary_$600")*D14:O14)</f>
        <v>81249</v>
      </c>
      <c r="Q14" s="442"/>
      <c r="R14" s="466" t="s">
        <v>31</v>
      </c>
      <c r="S14" s="443" t="s">
        <v>56</v>
      </c>
      <c r="T14" s="443" t="s">
        <v>55</v>
      </c>
      <c r="U14" s="439"/>
      <c r="V14" s="439"/>
    </row>
    <row r="15" spans="1:22" ht="12.75">
      <c r="A15" s="464" t="s">
        <v>57</v>
      </c>
      <c r="B15" s="464" t="s">
        <v>54</v>
      </c>
      <c r="C15" s="464" t="s">
        <v>21</v>
      </c>
      <c r="D15" s="465">
        <v>6480</v>
      </c>
      <c r="E15" s="465">
        <v>12600</v>
      </c>
      <c r="F15" s="465">
        <v>15300</v>
      </c>
      <c r="G15" s="465">
        <v>13230</v>
      </c>
      <c r="H15" s="465">
        <v>14580</v>
      </c>
      <c r="I15" s="465">
        <v>14580</v>
      </c>
      <c r="J15" s="465">
        <v>5760</v>
      </c>
      <c r="K15" s="465">
        <v>0</v>
      </c>
      <c r="L15" s="465">
        <v>0</v>
      </c>
      <c r="M15" s="465">
        <v>0</v>
      </c>
      <c r="N15" s="465">
        <v>0</v>
      </c>
      <c r="O15" s="465">
        <v>0</v>
      </c>
      <c r="P15" s="465" cm="1">
        <f t="array" ref="P15">SUMPRODUCT((D$1:O$1&lt;&gt;"Margin")*(D$1:O$1&lt;&gt;"Salary_$600")*D15:O15)</f>
        <v>82530</v>
      </c>
      <c r="Q15" s="442"/>
      <c r="R15" s="466" t="s">
        <v>31</v>
      </c>
      <c r="S15" s="443" t="s">
        <v>58</v>
      </c>
      <c r="T15" s="443" t="s">
        <v>55</v>
      </c>
      <c r="U15" s="439"/>
      <c r="V15" s="439"/>
    </row>
    <row r="16" spans="1:22" ht="12.75">
      <c r="A16" s="464" t="s">
        <v>59</v>
      </c>
      <c r="B16" s="464" t="s">
        <v>54</v>
      </c>
      <c r="C16" s="464" t="s">
        <v>21</v>
      </c>
      <c r="D16" s="465">
        <v>75611</v>
      </c>
      <c r="E16" s="465">
        <v>69485</v>
      </c>
      <c r="F16" s="465">
        <v>69376</v>
      </c>
      <c r="G16" s="465">
        <v>27481</v>
      </c>
      <c r="H16" s="465">
        <v>22062</v>
      </c>
      <c r="I16" s="465">
        <v>12312</v>
      </c>
      <c r="J16" s="465">
        <v>11248</v>
      </c>
      <c r="K16" s="465">
        <v>1216</v>
      </c>
      <c r="L16" s="465">
        <v>0</v>
      </c>
      <c r="M16" s="465">
        <v>0</v>
      </c>
      <c r="N16" s="465">
        <v>0</v>
      </c>
      <c r="O16" s="465">
        <v>0</v>
      </c>
      <c r="P16" s="465" cm="1">
        <f t="array" ref="P16">SUMPRODUCT((D$1:O$1&lt;&gt;"Margin")*(D$1:O$1&lt;&gt;"Salary_$600")*D16:O16)</f>
        <v>288791</v>
      </c>
      <c r="Q16" s="442"/>
      <c r="R16" s="466" t="s">
        <v>31</v>
      </c>
      <c r="S16" s="443" t="s">
        <v>59</v>
      </c>
      <c r="T16" s="443" t="s">
        <v>55</v>
      </c>
      <c r="U16" s="439"/>
      <c r="V16" s="439"/>
    </row>
    <row r="17" spans="1:22" ht="12.75">
      <c r="A17" s="464" t="s">
        <v>60</v>
      </c>
      <c r="B17" s="464" t="s">
        <v>54</v>
      </c>
      <c r="C17" s="464" t="s">
        <v>21</v>
      </c>
      <c r="D17" s="465">
        <v>740</v>
      </c>
      <c r="E17" s="465">
        <v>700</v>
      </c>
      <c r="F17" s="465">
        <v>850</v>
      </c>
      <c r="G17" s="465">
        <v>735</v>
      </c>
      <c r="H17" s="465">
        <v>810</v>
      </c>
      <c r="I17" s="465">
        <v>810</v>
      </c>
      <c r="J17" s="465">
        <v>740</v>
      </c>
      <c r="K17" s="465">
        <v>850</v>
      </c>
      <c r="L17" s="465">
        <v>735</v>
      </c>
      <c r="M17" s="465">
        <v>810</v>
      </c>
      <c r="N17" s="465">
        <v>735</v>
      </c>
      <c r="O17" s="465">
        <v>700</v>
      </c>
      <c r="P17" s="465" cm="1">
        <f t="array" ref="P17">SUMPRODUCT((D$1:O$1&lt;&gt;"Margin")*(D$1:O$1&lt;&gt;"Salary_$600")*D17:O17)</f>
        <v>9215</v>
      </c>
      <c r="Q17" s="442"/>
      <c r="R17" s="466" t="s">
        <v>31</v>
      </c>
      <c r="S17" s="443" t="s">
        <v>60</v>
      </c>
      <c r="T17" s="443" t="s">
        <v>55</v>
      </c>
      <c r="U17" s="439"/>
      <c r="V17" s="439"/>
    </row>
    <row r="18" spans="1:22" ht="12.75">
      <c r="A18" s="464" t="s">
        <v>61</v>
      </c>
      <c r="B18" s="464" t="s">
        <v>54</v>
      </c>
      <c r="C18" s="464" t="s">
        <v>21</v>
      </c>
      <c r="D18" s="465">
        <v>8880</v>
      </c>
      <c r="E18" s="465">
        <v>8400</v>
      </c>
      <c r="F18" s="465">
        <v>10200</v>
      </c>
      <c r="G18" s="465">
        <v>8820</v>
      </c>
      <c r="H18" s="465">
        <v>9720</v>
      </c>
      <c r="I18" s="465">
        <v>10560</v>
      </c>
      <c r="J18" s="465">
        <v>0</v>
      </c>
      <c r="K18" s="465">
        <v>0</v>
      </c>
      <c r="L18" s="465">
        <v>0</v>
      </c>
      <c r="M18" s="465">
        <v>0</v>
      </c>
      <c r="N18" s="465">
        <v>0</v>
      </c>
      <c r="O18" s="465">
        <v>0</v>
      </c>
      <c r="P18" s="465" cm="1">
        <f t="array" ref="P18">SUMPRODUCT((D$1:O$1&lt;&gt;"Margin")*(D$1:O$1&lt;&gt;"Salary_$600")*D18:O18)</f>
        <v>56580</v>
      </c>
      <c r="Q18" s="442"/>
      <c r="R18" s="466"/>
      <c r="S18" s="443" t="s">
        <v>61</v>
      </c>
      <c r="T18" s="443" t="s">
        <v>55</v>
      </c>
      <c r="U18" s="439"/>
      <c r="V18" s="439"/>
    </row>
    <row r="19" spans="1:22" ht="12.75">
      <c r="A19" s="467" t="s">
        <v>62</v>
      </c>
      <c r="B19" s="468"/>
      <c r="C19" s="468"/>
      <c r="D19" s="441">
        <f>SUM(D4:D18)</f>
        <v>242004</v>
      </c>
      <c r="E19" s="441">
        <f>SUM(E4:E18)</f>
        <v>233353</v>
      </c>
      <c r="F19" s="441">
        <f>SUM(F4:F18)</f>
        <v>268360</v>
      </c>
      <c r="G19" s="441">
        <f>SUM(G4:G18)</f>
        <v>199543</v>
      </c>
      <c r="H19" s="441">
        <f>SUM(H4:H18)</f>
        <v>211681</v>
      </c>
      <c r="I19" s="441">
        <f>SUM(I4:I18)</f>
        <v>202771</v>
      </c>
      <c r="J19" s="441">
        <f>SUM(J4:J18)</f>
        <v>170669</v>
      </c>
      <c r="K19" s="441">
        <f>SUM(K4:K18)</f>
        <v>162290</v>
      </c>
      <c r="L19" s="441">
        <f>SUM(L4:L18)</f>
        <v>126705</v>
      </c>
      <c r="M19" s="441">
        <f>SUM(M4:M18)</f>
        <v>137941</v>
      </c>
      <c r="N19" s="441">
        <f>SUM(N4:N18)</f>
        <v>125169</v>
      </c>
      <c r="O19" s="441">
        <f>SUM(O4:O18)</f>
        <v>119208</v>
      </c>
      <c r="P19" s="469">
        <f>SUM(P4:P18)</f>
        <v>2199694</v>
      </c>
      <c r="Q19" s="470"/>
      <c r="R19" s="471"/>
      <c r="S19" s="438"/>
      <c r="T19" s="438"/>
      <c r="U19" s="439"/>
      <c r="V19" s="439"/>
    </row>
    <row r="20" spans="1:22" ht="12.75">
      <c r="A20" s="472" t="s">
        <v>59</v>
      </c>
      <c r="B20" s="472" t="s">
        <v>63</v>
      </c>
      <c r="C20" s="472" t="s">
        <v>21</v>
      </c>
      <c r="D20" s="473">
        <v>12303</v>
      </c>
      <c r="E20" s="473">
        <v>11638</v>
      </c>
      <c r="F20" s="473">
        <v>14132</v>
      </c>
      <c r="G20" s="473">
        <v>24440</v>
      </c>
      <c r="H20" s="473">
        <v>13467</v>
      </c>
      <c r="I20" s="473">
        <v>26934</v>
      </c>
      <c r="J20" s="473">
        <v>12303</v>
      </c>
      <c r="K20" s="473">
        <v>28264</v>
      </c>
      <c r="L20" s="473">
        <v>12220</v>
      </c>
      <c r="M20" s="473">
        <v>13467</v>
      </c>
      <c r="N20" s="473">
        <v>12220</v>
      </c>
      <c r="O20" s="473">
        <v>0</v>
      </c>
      <c r="P20" s="473" cm="1">
        <f t="array" ref="P20">SUMPRODUCT((D$1:O$1&lt;&gt;"Margin")*(D$1:O$1&lt;&gt;"Salary_$600")*D20:O20)</f>
        <v>181388</v>
      </c>
      <c r="Q20" s="444"/>
      <c r="R20" s="445"/>
      <c r="S20" s="438" t="s">
        <v>59</v>
      </c>
      <c r="T20" s="438" t="s">
        <v>64</v>
      </c>
      <c r="U20" s="439"/>
      <c r="V20" s="439"/>
    </row>
    <row r="21" spans="1:22" ht="12.75">
      <c r="A21" s="472" t="s">
        <v>49</v>
      </c>
      <c r="B21" s="472" t="s">
        <v>47</v>
      </c>
      <c r="C21" s="472" t="s">
        <v>21</v>
      </c>
      <c r="D21" s="473">
        <v>0</v>
      </c>
      <c r="E21" s="473">
        <v>11200</v>
      </c>
      <c r="F21" s="473">
        <v>13600</v>
      </c>
      <c r="G21" s="473">
        <v>11760</v>
      </c>
      <c r="H21" s="473">
        <v>12960</v>
      </c>
      <c r="I21" s="473">
        <v>25920</v>
      </c>
      <c r="J21" s="473">
        <v>11840</v>
      </c>
      <c r="K21" s="473">
        <v>0</v>
      </c>
      <c r="L21" s="473">
        <v>11760</v>
      </c>
      <c r="M21" s="473">
        <v>12960</v>
      </c>
      <c r="N21" s="473">
        <v>0</v>
      </c>
      <c r="O21" s="473">
        <v>0</v>
      </c>
      <c r="P21" s="473" cm="1">
        <f t="array" ref="P21">SUMPRODUCT((D$1:O$1&lt;&gt;"Margin")*(D$1:O$1&lt;&gt;"Salary_$600")*D21:O21)</f>
        <v>112000</v>
      </c>
      <c r="Q21" s="446"/>
      <c r="R21" s="447"/>
      <c r="S21" s="448" t="s">
        <v>49</v>
      </c>
      <c r="T21" s="448" t="s">
        <v>64</v>
      </c>
      <c r="U21" s="439"/>
      <c r="V21" s="439"/>
    </row>
    <row r="22" spans="1:22" ht="12.75">
      <c r="A22" s="472" t="s">
        <v>58</v>
      </c>
      <c r="B22" s="472" t="s">
        <v>63</v>
      </c>
      <c r="C22" s="472" t="s">
        <v>21</v>
      </c>
      <c r="D22" s="473">
        <v>0</v>
      </c>
      <c r="E22" s="473">
        <v>10500</v>
      </c>
      <c r="F22" s="473">
        <v>12750</v>
      </c>
      <c r="G22" s="473">
        <v>11025</v>
      </c>
      <c r="H22" s="473">
        <v>12150</v>
      </c>
      <c r="I22" s="473">
        <v>12150</v>
      </c>
      <c r="J22" s="473">
        <v>11100</v>
      </c>
      <c r="K22" s="473">
        <v>12750</v>
      </c>
      <c r="L22" s="473">
        <v>11025</v>
      </c>
      <c r="M22" s="473">
        <v>12150</v>
      </c>
      <c r="N22" s="473">
        <v>0</v>
      </c>
      <c r="O22" s="473">
        <v>0</v>
      </c>
      <c r="P22" s="473" cm="1">
        <f t="array" ref="P22">SUMPRODUCT((D$1:O$1&lt;&gt;"Margin")*(D$1:O$1&lt;&gt;"Salary_$600")*D22:O22)</f>
        <v>105600</v>
      </c>
      <c r="Q22" s="444"/>
      <c r="R22" s="445"/>
      <c r="S22" s="438" t="s">
        <v>58</v>
      </c>
      <c r="T22" s="438" t="s">
        <v>64</v>
      </c>
      <c r="U22" s="439"/>
      <c r="V22" s="439"/>
    </row>
    <row r="23" spans="1:22" ht="12.75">
      <c r="A23" s="472" t="s">
        <v>65</v>
      </c>
      <c r="B23" s="472" t="s">
        <v>63</v>
      </c>
      <c r="C23" s="472" t="s">
        <v>21</v>
      </c>
      <c r="D23" s="473">
        <v>0</v>
      </c>
      <c r="E23" s="473">
        <v>0</v>
      </c>
      <c r="F23" s="473">
        <v>0</v>
      </c>
      <c r="G23" s="473">
        <v>11760</v>
      </c>
      <c r="H23" s="473">
        <v>12960</v>
      </c>
      <c r="I23" s="473">
        <v>12960</v>
      </c>
      <c r="J23" s="473">
        <v>11840</v>
      </c>
      <c r="K23" s="473">
        <v>13600</v>
      </c>
      <c r="L23" s="473">
        <v>11760</v>
      </c>
      <c r="M23" s="473">
        <v>0</v>
      </c>
      <c r="N23" s="473">
        <v>0</v>
      </c>
      <c r="O23" s="473">
        <v>0</v>
      </c>
      <c r="P23" s="473" cm="1">
        <f t="array" ref="P23">SUMPRODUCT((D$1:O$1&lt;&gt;"Margin")*(D$1:O$1&lt;&gt;"Salary_$600")*D23:O23)</f>
        <v>74880</v>
      </c>
      <c r="Q23" s="444"/>
      <c r="R23" s="445"/>
      <c r="S23" s="438" t="s">
        <v>65</v>
      </c>
      <c r="T23" s="438" t="s">
        <v>64</v>
      </c>
      <c r="U23" s="439"/>
      <c r="V23" s="439"/>
    </row>
    <row r="24" spans="1:22" ht="12.75">
      <c r="A24" s="472" t="s">
        <v>60</v>
      </c>
      <c r="B24" s="472" t="s">
        <v>66</v>
      </c>
      <c r="C24" s="472" t="s">
        <v>21</v>
      </c>
      <c r="D24" s="473">
        <v>3088</v>
      </c>
      <c r="E24" s="473">
        <v>0</v>
      </c>
      <c r="F24" s="473">
        <v>850</v>
      </c>
      <c r="G24" s="473">
        <v>1470</v>
      </c>
      <c r="H24" s="473">
        <v>3240</v>
      </c>
      <c r="I24" s="473">
        <v>3240</v>
      </c>
      <c r="J24" s="473">
        <v>2960</v>
      </c>
      <c r="K24" s="473">
        <v>4250</v>
      </c>
      <c r="L24" s="473">
        <v>3675</v>
      </c>
      <c r="M24" s="473">
        <v>4860</v>
      </c>
      <c r="N24" s="473">
        <v>4410</v>
      </c>
      <c r="O24" s="473">
        <v>4900</v>
      </c>
      <c r="P24" s="473" cm="1">
        <f t="array" ref="P24">SUMPRODUCT((D$1:O$1&lt;&gt;"Margin")*(D$1:O$1&lt;&gt;"Salary_$600")*D24:O24)</f>
        <v>36943</v>
      </c>
      <c r="Q24" s="444"/>
      <c r="R24" s="445"/>
      <c r="S24" s="438" t="s">
        <v>60</v>
      </c>
      <c r="T24" s="438" t="s">
        <v>64</v>
      </c>
      <c r="U24" s="439"/>
      <c r="V24" s="439"/>
    </row>
    <row r="25" spans="1:22" ht="12.75">
      <c r="A25" s="472" t="s">
        <v>67</v>
      </c>
      <c r="B25" s="472" t="s">
        <v>66</v>
      </c>
      <c r="C25" s="472" t="s">
        <v>21</v>
      </c>
      <c r="D25" s="473">
        <v>45297</v>
      </c>
      <c r="E25" s="473">
        <v>0</v>
      </c>
      <c r="F25" s="473">
        <v>13600</v>
      </c>
      <c r="G25" s="473">
        <v>23520</v>
      </c>
      <c r="H25" s="473">
        <v>51840</v>
      </c>
      <c r="I25" s="473">
        <v>51840</v>
      </c>
      <c r="J25" s="473">
        <v>47360</v>
      </c>
      <c r="K25" s="473">
        <v>68000</v>
      </c>
      <c r="L25" s="473">
        <v>58800</v>
      </c>
      <c r="M25" s="473">
        <v>77760</v>
      </c>
      <c r="N25" s="473">
        <v>70560</v>
      </c>
      <c r="O25" s="473">
        <v>78400</v>
      </c>
      <c r="P25" s="473" cm="1">
        <f t="array" ref="P25">SUMPRODUCT((D$1:O$1&lt;&gt;"Margin")*(D$1:O$1&lt;&gt;"Salary_$600")*D25:O25)</f>
        <v>586977</v>
      </c>
      <c r="Q25" s="444"/>
      <c r="R25" s="445"/>
      <c r="S25" s="438" t="s">
        <v>67</v>
      </c>
      <c r="T25" s="438" t="s">
        <v>64</v>
      </c>
      <c r="U25" s="439"/>
      <c r="V25" s="439"/>
    </row>
    <row r="26" spans="1:22" ht="12.75">
      <c r="A26" s="472" t="s">
        <v>53</v>
      </c>
      <c r="B26" s="472" t="s">
        <v>66</v>
      </c>
      <c r="C26" s="472" t="s">
        <v>21</v>
      </c>
      <c r="D26" s="473">
        <v>10710</v>
      </c>
      <c r="E26" s="473">
        <v>868</v>
      </c>
      <c r="F26" s="473">
        <v>2108</v>
      </c>
      <c r="G26" s="473">
        <v>1823</v>
      </c>
      <c r="H26" s="473">
        <v>3013</v>
      </c>
      <c r="I26" s="473">
        <v>3013</v>
      </c>
      <c r="J26" s="473">
        <v>2753</v>
      </c>
      <c r="K26" s="473">
        <v>3162</v>
      </c>
      <c r="L26" s="473">
        <v>2734</v>
      </c>
      <c r="M26" s="473">
        <v>3013</v>
      </c>
      <c r="N26" s="473">
        <v>2734</v>
      </c>
      <c r="O26" s="473">
        <v>2604</v>
      </c>
      <c r="P26" s="473" cm="1">
        <f t="array" ref="P26">SUMPRODUCT((D$1:O$1&lt;&gt;"Margin")*(D$1:O$1&lt;&gt;"Salary_$600")*D26:O26)</f>
        <v>38535</v>
      </c>
      <c r="Q26" s="444"/>
      <c r="R26" s="445"/>
      <c r="S26" s="438" t="s">
        <v>53</v>
      </c>
      <c r="T26" s="438" t="s">
        <v>64</v>
      </c>
      <c r="U26" s="439"/>
      <c r="V26" s="439"/>
    </row>
    <row r="27" spans="1:22" ht="12.75">
      <c r="A27" s="472" t="s">
        <v>68</v>
      </c>
      <c r="B27" s="472" t="s">
        <v>66</v>
      </c>
      <c r="C27" s="472" t="s">
        <v>21</v>
      </c>
      <c r="D27" s="473">
        <v>4257</v>
      </c>
      <c r="E27" s="473">
        <v>700</v>
      </c>
      <c r="F27" s="473">
        <v>1700</v>
      </c>
      <c r="G27" s="473">
        <v>2940</v>
      </c>
      <c r="H27" s="473">
        <v>3240</v>
      </c>
      <c r="I27" s="473">
        <v>4860</v>
      </c>
      <c r="J27" s="473">
        <v>5180</v>
      </c>
      <c r="K27" s="473">
        <v>6800</v>
      </c>
      <c r="L27" s="473">
        <v>5880</v>
      </c>
      <c r="M27" s="473">
        <v>7290</v>
      </c>
      <c r="N27" s="473">
        <v>6615</v>
      </c>
      <c r="O27" s="473">
        <v>2100</v>
      </c>
      <c r="P27" s="473" cm="1">
        <f t="array" ref="P27">SUMPRODUCT((D$1:O$1&lt;&gt;"Margin")*(D$1:O$1&lt;&gt;"Salary_$600")*D27:O27)</f>
        <v>51562</v>
      </c>
      <c r="Q27" s="444"/>
      <c r="R27" s="445"/>
      <c r="S27" s="438" t="s">
        <v>68</v>
      </c>
      <c r="T27" s="438" t="s">
        <v>64</v>
      </c>
      <c r="U27" s="439"/>
      <c r="V27" s="439"/>
    </row>
    <row r="28" spans="1:22" ht="12.75">
      <c r="A28" s="472" t="s">
        <v>69</v>
      </c>
      <c r="B28" s="472" t="s">
        <v>66</v>
      </c>
      <c r="C28" s="472" t="s">
        <v>21</v>
      </c>
      <c r="D28" s="473">
        <v>22278</v>
      </c>
      <c r="E28" s="473">
        <v>0</v>
      </c>
      <c r="F28" s="473">
        <v>12750</v>
      </c>
      <c r="G28" s="473">
        <v>22050</v>
      </c>
      <c r="H28" s="473">
        <v>24300</v>
      </c>
      <c r="I28" s="473">
        <v>24300</v>
      </c>
      <c r="J28" s="473">
        <v>22200</v>
      </c>
      <c r="K28" s="473">
        <v>25500</v>
      </c>
      <c r="L28" s="473">
        <v>33075</v>
      </c>
      <c r="M28" s="473">
        <v>36450</v>
      </c>
      <c r="N28" s="473">
        <v>33075</v>
      </c>
      <c r="O28" s="473">
        <v>31500</v>
      </c>
      <c r="P28" s="473" cm="1">
        <f t="array" ref="P28">SUMPRODUCT((D$1:O$1&lt;&gt;"Margin")*(D$1:O$1&lt;&gt;"Salary_$600")*D28:O28)</f>
        <v>287478</v>
      </c>
      <c r="Q28" s="444"/>
      <c r="R28" s="445"/>
      <c r="S28" s="438" t="s">
        <v>69</v>
      </c>
      <c r="T28" s="438" t="s">
        <v>64</v>
      </c>
      <c r="U28" s="439"/>
      <c r="V28" s="439"/>
    </row>
    <row r="29" spans="1:22" ht="12.75">
      <c r="A29" s="472" t="s">
        <v>70</v>
      </c>
      <c r="B29" s="472" t="s">
        <v>66</v>
      </c>
      <c r="C29" s="472" t="s">
        <v>21</v>
      </c>
      <c r="D29" s="473">
        <v>0</v>
      </c>
      <c r="E29" s="473">
        <v>0</v>
      </c>
      <c r="F29" s="473">
        <v>0</v>
      </c>
      <c r="G29" s="473">
        <v>0</v>
      </c>
      <c r="H29" s="473">
        <v>0</v>
      </c>
      <c r="I29" s="473">
        <v>0</v>
      </c>
      <c r="J29" s="473">
        <v>0</v>
      </c>
      <c r="K29" s="473">
        <v>0</v>
      </c>
      <c r="L29" s="473">
        <v>0</v>
      </c>
      <c r="M29" s="473">
        <v>0</v>
      </c>
      <c r="N29" s="473">
        <v>0</v>
      </c>
      <c r="O29" s="473">
        <v>0</v>
      </c>
      <c r="P29" s="473" cm="1">
        <f t="array" ref="P29">SUMPRODUCT((D$1:O$1&lt;&gt;"Margin")*(D$1:O$1&lt;&gt;"Salary_$600")*D29:O29)</f>
        <v>0</v>
      </c>
      <c r="Q29" s="444"/>
      <c r="R29" s="445"/>
      <c r="S29" s="438" t="s">
        <v>56</v>
      </c>
      <c r="T29" s="438" t="s">
        <v>64</v>
      </c>
      <c r="U29" s="439"/>
      <c r="V29" s="439"/>
    </row>
    <row r="30" spans="1:22" ht="12.75">
      <c r="A30" s="472" t="s">
        <v>61</v>
      </c>
      <c r="B30" s="472" t="s">
        <v>66</v>
      </c>
      <c r="C30" s="472" t="s">
        <v>21</v>
      </c>
      <c r="D30" s="473">
        <v>0</v>
      </c>
      <c r="E30" s="473">
        <v>0</v>
      </c>
      <c r="F30" s="473">
        <v>0</v>
      </c>
      <c r="G30" s="473">
        <v>0</v>
      </c>
      <c r="H30" s="473">
        <v>0</v>
      </c>
      <c r="I30" s="473">
        <v>0</v>
      </c>
      <c r="J30" s="473">
        <v>0</v>
      </c>
      <c r="K30" s="473">
        <v>0</v>
      </c>
      <c r="L30" s="473">
        <v>0</v>
      </c>
      <c r="M30" s="473">
        <v>0</v>
      </c>
      <c r="N30" s="473">
        <v>0</v>
      </c>
      <c r="O30" s="473">
        <v>0</v>
      </c>
      <c r="P30" s="473" cm="1">
        <f t="array" ref="P30">SUMPRODUCT((D$1:O$1&lt;&gt;"Margin")*(D$1:O$1&lt;&gt;"Salary_$600")*D30:O30)</f>
        <v>0</v>
      </c>
      <c r="Q30" s="444"/>
      <c r="R30" s="445"/>
      <c r="S30" s="438" t="s">
        <v>61</v>
      </c>
      <c r="T30" s="438" t="s">
        <v>64</v>
      </c>
      <c r="U30" s="439"/>
      <c r="V30" s="439"/>
    </row>
    <row r="31" spans="1:22" ht="12.75">
      <c r="A31" s="472" t="s">
        <v>71</v>
      </c>
      <c r="B31" s="472" t="s">
        <v>66</v>
      </c>
      <c r="C31" s="472" t="s">
        <v>21</v>
      </c>
      <c r="D31" s="473">
        <v>16060</v>
      </c>
      <c r="E31" s="473">
        <v>0</v>
      </c>
      <c r="F31" s="473">
        <v>0</v>
      </c>
      <c r="G31" s="473">
        <v>0</v>
      </c>
      <c r="H31" s="473">
        <v>25272</v>
      </c>
      <c r="I31" s="473">
        <v>25272</v>
      </c>
      <c r="J31" s="473">
        <v>23088</v>
      </c>
      <c r="K31" s="473">
        <v>26520</v>
      </c>
      <c r="L31" s="473">
        <v>22932</v>
      </c>
      <c r="M31" s="473">
        <v>25272</v>
      </c>
      <c r="N31" s="473">
        <v>22932</v>
      </c>
      <c r="O31" s="473">
        <v>21840</v>
      </c>
      <c r="P31" s="473" cm="1">
        <f t="array" ref="P31">SUMPRODUCT((D$1:O$1&lt;&gt;"Margin")*(D$1:O$1&lt;&gt;"Salary_$600")*D31:O31)</f>
        <v>209188</v>
      </c>
      <c r="Q31" s="444"/>
      <c r="R31" s="445"/>
      <c r="S31" s="438" t="s">
        <v>71</v>
      </c>
      <c r="T31" s="438" t="s">
        <v>64</v>
      </c>
      <c r="U31" s="439"/>
      <c r="V31" s="439"/>
    </row>
    <row r="32" spans="1:22" ht="12.75">
      <c r="A32" s="474" t="s">
        <v>72</v>
      </c>
      <c r="B32" s="475"/>
      <c r="C32" s="475"/>
      <c r="D32" s="476">
        <f>SUM(D20:D31)</f>
        <v>113993</v>
      </c>
      <c r="E32" s="476">
        <f>SUM(E20:E31)</f>
        <v>34906</v>
      </c>
      <c r="F32" s="476">
        <f>SUM(F20:F31)</f>
        <v>71490</v>
      </c>
      <c r="G32" s="476">
        <f>SUM(G20:G31)</f>
        <v>110788</v>
      </c>
      <c r="H32" s="476">
        <f>SUM(H20:H31)</f>
        <v>162442</v>
      </c>
      <c r="I32" s="476">
        <f>SUM(I20:I31)</f>
        <v>190489</v>
      </c>
      <c r="J32" s="476">
        <f>SUM(J20:J31)</f>
        <v>150624</v>
      </c>
      <c r="K32" s="476">
        <f>SUM(K20:K31)</f>
        <v>188846</v>
      </c>
      <c r="L32" s="476">
        <f>SUM(L20:L31)</f>
        <v>173861</v>
      </c>
      <c r="M32" s="476">
        <f>SUM(M20:M31)</f>
        <v>193222</v>
      </c>
      <c r="N32" s="476">
        <f>SUM(N20:N31)</f>
        <v>152546</v>
      </c>
      <c r="O32" s="476">
        <f>SUM(O20:O31)</f>
        <v>141344</v>
      </c>
      <c r="P32" s="476">
        <f>SUM(P20:P31)</f>
        <v>1684551</v>
      </c>
      <c r="Q32" s="477"/>
      <c r="R32" s="478"/>
      <c r="S32" s="438"/>
      <c r="T32" s="438"/>
      <c r="U32" s="439"/>
      <c r="V32" s="439"/>
    </row>
    <row r="33" spans="1:22" ht="12.75">
      <c r="A33" s="479" t="s">
        <v>73</v>
      </c>
      <c r="B33" s="480"/>
      <c r="C33" s="480"/>
      <c r="D33" s="476">
        <f>+D19+D32</f>
        <v>355997</v>
      </c>
      <c r="E33" s="476">
        <f>+E19+E32</f>
        <v>268259</v>
      </c>
      <c r="F33" s="476">
        <f>+F19+F32</f>
        <v>339850</v>
      </c>
      <c r="G33" s="476">
        <f>+G19+G32</f>
        <v>310331</v>
      </c>
      <c r="H33" s="476">
        <f>+H19+H32</f>
        <v>374123</v>
      </c>
      <c r="I33" s="476">
        <f>+I19+I32</f>
        <v>393260</v>
      </c>
      <c r="J33" s="476">
        <f>+J19+J32</f>
        <v>321293</v>
      </c>
      <c r="K33" s="476">
        <f>+K19+K32</f>
        <v>351136</v>
      </c>
      <c r="L33" s="476">
        <f>+L19+L32</f>
        <v>300566</v>
      </c>
      <c r="M33" s="476">
        <f>+M19+M32</f>
        <v>331163</v>
      </c>
      <c r="N33" s="476">
        <f>+N19+N32</f>
        <v>277715</v>
      </c>
      <c r="O33" s="476">
        <f>+O19+O32</f>
        <v>260552</v>
      </c>
      <c r="P33" s="481">
        <f>+P19+P32</f>
        <v>3884245</v>
      </c>
      <c r="Q33" s="477"/>
      <c r="R33" s="478"/>
      <c r="S33" s="438"/>
      <c r="T33" s="438"/>
      <c r="U33" s="439"/>
      <c r="V33" s="439"/>
    </row>
    <row r="34" spans="1:22" ht="12.75">
      <c r="A34" s="439"/>
      <c r="B34" s="439"/>
      <c r="C34" s="439"/>
      <c r="D34" s="439"/>
      <c r="E34" s="439"/>
      <c r="F34" s="439"/>
      <c r="G34" s="439"/>
      <c r="H34" s="439"/>
      <c r="I34" s="439"/>
      <c r="J34" s="439"/>
      <c r="K34" s="439"/>
      <c r="L34" s="439"/>
      <c r="M34" s="439"/>
      <c r="N34" s="439"/>
      <c r="O34" s="439"/>
      <c r="P34" s="439"/>
      <c r="Q34" s="439"/>
      <c r="R34" s="439"/>
      <c r="S34" s="439"/>
      <c r="T34" s="439"/>
      <c r="U34" s="439"/>
      <c r="V34" s="439"/>
    </row>
  </sheetData>
  <sheetProtection sheet="1" objects="1" scenarios="1"/>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444EB-9F39-438C-82C3-D148D6D99CB2}">
  <sheetPr>
    <tabColor theme="8"/>
  </sheetPr>
  <dimension ref="A1:BR134"/>
  <sheetViews>
    <sheetView zoomScaleNormal="100" workbookViewId="0">
      <pane xSplit="3" ySplit="2" topLeftCell="U3" activePane="bottomRight" state="frozen"/>
      <selection pane="bottomRight" activeCell="Z8" sqref="Z8"/>
      <selection pane="bottomLeft" activeCell="A3" sqref="A3"/>
      <selection pane="topRight" activeCell="D1" sqref="D1"/>
    </sheetView>
  </sheetViews>
  <sheetFormatPr defaultColWidth="9.28515625" defaultRowHeight="13.5" customHeight="1"/>
  <cols>
    <col min="1" max="1" width="40.28515625" style="167" customWidth="1"/>
    <col min="2" max="2" width="8" style="167" customWidth="1"/>
    <col min="3" max="3" width="8.85546875" style="167" customWidth="1"/>
    <col min="4" max="4" width="11.42578125" style="314" customWidth="1"/>
    <col min="5" max="5" width="11.42578125" style="384" customWidth="1"/>
    <col min="6" max="6" width="11.42578125" style="387" customWidth="1"/>
    <col min="7" max="7" width="11.42578125" style="314" customWidth="1"/>
    <col min="8" max="8" width="11.42578125" style="384" customWidth="1"/>
    <col min="9" max="9" width="11.42578125" style="387" customWidth="1"/>
    <col min="10" max="10" width="11.42578125" style="314" customWidth="1"/>
    <col min="11" max="11" width="11.42578125" style="384" customWidth="1"/>
    <col min="12" max="12" width="11.42578125" style="387" customWidth="1"/>
    <col min="13" max="13" width="11.42578125" style="314" customWidth="1"/>
    <col min="14" max="14" width="11.42578125" style="384" customWidth="1"/>
    <col min="15" max="15" width="11.42578125" style="387" customWidth="1"/>
    <col min="16" max="16" width="11.42578125" style="314" customWidth="1"/>
    <col min="17" max="17" width="11.42578125" style="384" customWidth="1"/>
    <col min="18" max="18" width="11.42578125" style="387" customWidth="1"/>
    <col min="19" max="19" width="12.5703125" style="314" bestFit="1" customWidth="1"/>
    <col min="20" max="20" width="11.42578125" style="384" customWidth="1"/>
    <col min="21" max="21" width="11.42578125" style="387" customWidth="1"/>
    <col min="22" max="22" width="11.42578125" style="314" customWidth="1"/>
    <col min="23" max="23" width="11.42578125" style="384" customWidth="1"/>
    <col min="24" max="24" width="11.42578125" style="387" customWidth="1"/>
    <col min="25" max="25" width="11.42578125" style="314" customWidth="1"/>
    <col min="26" max="26" width="11.42578125" style="384" customWidth="1"/>
    <col min="27" max="27" width="11.42578125" style="387" customWidth="1"/>
    <col min="28" max="28" width="11.42578125" style="314" customWidth="1"/>
    <col min="29" max="29" width="11.42578125" style="384" customWidth="1"/>
    <col min="30" max="30" width="11.42578125" style="387" customWidth="1"/>
    <col min="31" max="31" width="11.42578125" style="314" customWidth="1"/>
    <col min="32" max="32" width="11.42578125" style="384" customWidth="1"/>
    <col min="33" max="33" width="11.42578125" style="387" customWidth="1"/>
    <col min="34" max="34" width="13.28515625" style="314" customWidth="1"/>
    <col min="35" max="35" width="11.42578125" style="384" customWidth="1"/>
    <col min="36" max="36" width="11.42578125" style="387" customWidth="1"/>
    <col min="37" max="37" width="11.42578125" style="314" customWidth="1"/>
    <col min="38" max="38" width="11.42578125" style="384" customWidth="1"/>
    <col min="39" max="39" width="11.42578125" style="387" customWidth="1"/>
    <col min="40" max="41" width="12.5703125" style="323" customWidth="1"/>
    <col min="42" max="42" width="77.7109375" style="208" customWidth="1"/>
    <col min="43" max="43" width="18.28515625" style="303" customWidth="1"/>
    <col min="44" max="44" width="29.85546875" style="342" bestFit="1" customWidth="1"/>
    <col min="45" max="45" width="13.140625" bestFit="1" customWidth="1"/>
    <col min="46" max="46" width="5.42578125" customWidth="1"/>
    <col min="47" max="47" width="9.42578125" bestFit="1" customWidth="1"/>
    <col min="48" max="48" width="10.42578125" bestFit="1" customWidth="1"/>
    <col min="49" max="49" width="8.7109375" bestFit="1" customWidth="1"/>
    <col min="69" max="69" width="9.28515625" style="157"/>
    <col min="70" max="16384" width="9.28515625" style="167"/>
  </cols>
  <sheetData>
    <row r="1" spans="1:69" ht="13.5" customHeight="1">
      <c r="A1" s="207"/>
      <c r="B1" s="207"/>
      <c r="C1" s="207"/>
      <c r="D1" s="206" t="s">
        <v>74</v>
      </c>
      <c r="E1" s="381" t="s">
        <v>75</v>
      </c>
      <c r="F1" s="388" t="s">
        <v>76</v>
      </c>
      <c r="G1" s="206" t="s">
        <v>74</v>
      </c>
      <c r="H1" s="381" t="s">
        <v>75</v>
      </c>
      <c r="I1" s="388" t="s">
        <v>76</v>
      </c>
      <c r="J1" s="206" t="s">
        <v>74</v>
      </c>
      <c r="K1" s="381" t="s">
        <v>75</v>
      </c>
      <c r="L1" s="388" t="s">
        <v>76</v>
      </c>
      <c r="M1" s="206" t="s">
        <v>74</v>
      </c>
      <c r="N1" s="381" t="s">
        <v>75</v>
      </c>
      <c r="O1" s="388" t="s">
        <v>76</v>
      </c>
      <c r="P1" s="206" t="s">
        <v>74</v>
      </c>
      <c r="Q1" s="381" t="s">
        <v>75</v>
      </c>
      <c r="R1" s="388" t="s">
        <v>76</v>
      </c>
      <c r="S1" s="206" t="s">
        <v>0</v>
      </c>
      <c r="T1" s="381" t="s">
        <v>75</v>
      </c>
      <c r="U1" s="388" t="s">
        <v>76</v>
      </c>
      <c r="V1" s="206" t="s">
        <v>0</v>
      </c>
      <c r="W1" s="381" t="s">
        <v>75</v>
      </c>
      <c r="X1" s="388" t="s">
        <v>76</v>
      </c>
      <c r="Y1" s="206" t="s">
        <v>0</v>
      </c>
      <c r="Z1" s="381" t="s">
        <v>75</v>
      </c>
      <c r="AA1" s="388" t="s">
        <v>76</v>
      </c>
      <c r="AB1" s="206" t="s">
        <v>0</v>
      </c>
      <c r="AC1" s="381" t="s">
        <v>75</v>
      </c>
      <c r="AD1" s="388" t="s">
        <v>76</v>
      </c>
      <c r="AE1" s="206" t="s">
        <v>0</v>
      </c>
      <c r="AF1" s="381" t="s">
        <v>75</v>
      </c>
      <c r="AG1" s="388" t="s">
        <v>76</v>
      </c>
      <c r="AH1" s="206" t="s">
        <v>0</v>
      </c>
      <c r="AI1" s="381" t="s">
        <v>75</v>
      </c>
      <c r="AJ1" s="388" t="s">
        <v>76</v>
      </c>
      <c r="AK1" s="206" t="s">
        <v>0</v>
      </c>
      <c r="AL1" s="381" t="s">
        <v>75</v>
      </c>
      <c r="AM1" s="388" t="s">
        <v>76</v>
      </c>
      <c r="AN1" s="318"/>
      <c r="AO1" s="318"/>
      <c r="AQ1" s="206"/>
    </row>
    <row r="2" spans="1:69" s="545" customFormat="1" ht="13.5" customHeight="1">
      <c r="A2" s="539" t="s">
        <v>1</v>
      </c>
      <c r="B2" s="539" t="s">
        <v>2</v>
      </c>
      <c r="C2" s="539" t="s">
        <v>3</v>
      </c>
      <c r="D2" s="540">
        <v>46023</v>
      </c>
      <c r="E2" s="540">
        <v>46023</v>
      </c>
      <c r="F2" s="540">
        <v>46023</v>
      </c>
      <c r="G2" s="540">
        <v>46054</v>
      </c>
      <c r="H2" s="540">
        <v>46054</v>
      </c>
      <c r="I2" s="540">
        <v>46054</v>
      </c>
      <c r="J2" s="540">
        <v>46082</v>
      </c>
      <c r="K2" s="540">
        <v>46082</v>
      </c>
      <c r="L2" s="540">
        <v>46082</v>
      </c>
      <c r="M2" s="540">
        <v>46113</v>
      </c>
      <c r="N2" s="540">
        <v>46113</v>
      </c>
      <c r="O2" s="540">
        <v>46113</v>
      </c>
      <c r="P2" s="540">
        <v>46143</v>
      </c>
      <c r="Q2" s="540">
        <v>46143</v>
      </c>
      <c r="R2" s="540">
        <v>46143</v>
      </c>
      <c r="S2" s="540">
        <v>46174</v>
      </c>
      <c r="T2" s="540">
        <v>46174</v>
      </c>
      <c r="U2" s="540">
        <v>46174</v>
      </c>
      <c r="V2" s="540">
        <v>46204</v>
      </c>
      <c r="W2" s="540">
        <v>46204</v>
      </c>
      <c r="X2" s="540">
        <v>46204</v>
      </c>
      <c r="Y2" s="540">
        <v>46235</v>
      </c>
      <c r="Z2" s="540">
        <v>46235</v>
      </c>
      <c r="AA2" s="540">
        <v>46235</v>
      </c>
      <c r="AB2" s="540">
        <v>46266</v>
      </c>
      <c r="AC2" s="540">
        <v>46266</v>
      </c>
      <c r="AD2" s="540">
        <v>46266</v>
      </c>
      <c r="AE2" s="540">
        <v>46296</v>
      </c>
      <c r="AF2" s="540">
        <v>46296</v>
      </c>
      <c r="AG2" s="540">
        <v>46296</v>
      </c>
      <c r="AH2" s="540">
        <v>46327</v>
      </c>
      <c r="AI2" s="540">
        <v>46327</v>
      </c>
      <c r="AJ2" s="540">
        <v>46327</v>
      </c>
      <c r="AK2" s="540">
        <v>46357</v>
      </c>
      <c r="AL2" s="540">
        <v>46357</v>
      </c>
      <c r="AM2" s="540">
        <v>46357</v>
      </c>
      <c r="AN2" s="541" t="s">
        <v>27</v>
      </c>
      <c r="AO2" s="541" t="s">
        <v>77</v>
      </c>
      <c r="AP2" s="542" t="s">
        <v>17</v>
      </c>
      <c r="AQ2" s="539" t="s">
        <v>18</v>
      </c>
      <c r="AR2" s="539" t="s">
        <v>19</v>
      </c>
      <c r="AS2" s="539" t="s">
        <v>20</v>
      </c>
      <c r="AT2" s="504"/>
      <c r="AU2" s="543">
        <v>2024</v>
      </c>
      <c r="AV2" s="543" t="s">
        <v>78</v>
      </c>
      <c r="AW2" s="543" t="s">
        <v>79</v>
      </c>
      <c r="AX2" s="504"/>
      <c r="AY2" s="504"/>
      <c r="AZ2" s="504"/>
      <c r="BA2" s="504"/>
      <c r="BB2" s="504"/>
      <c r="BC2" s="504"/>
      <c r="BD2" s="504"/>
      <c r="BE2" s="504"/>
      <c r="BF2" s="504"/>
      <c r="BG2" s="504"/>
      <c r="BH2" s="504"/>
      <c r="BI2" s="504"/>
      <c r="BJ2" s="504"/>
      <c r="BK2" s="504"/>
      <c r="BL2" s="504"/>
      <c r="BM2" s="504"/>
      <c r="BN2" s="504"/>
      <c r="BO2" s="504"/>
      <c r="BP2" s="504"/>
      <c r="BQ2" s="544"/>
    </row>
    <row r="3" spans="1:69" ht="13.5" customHeight="1">
      <c r="A3" s="315" t="s">
        <v>80</v>
      </c>
      <c r="B3" s="217"/>
      <c r="C3" s="217"/>
      <c r="D3" s="319"/>
      <c r="E3" s="319"/>
      <c r="F3" s="319"/>
      <c r="G3" s="319"/>
      <c r="H3" s="319"/>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20"/>
      <c r="AO3" s="320"/>
      <c r="AP3" s="218"/>
      <c r="AQ3" s="219"/>
      <c r="AR3" t="inlineStr">
        <is>
          <t>Track 1-Secured</t>
        </is>
      </c>
      <c r="AS3" s="525"/>
      <c r="AU3" s="534"/>
      <c r="AV3" s="534"/>
      <c r="AW3" s="534"/>
    </row>
    <row r="4" spans="1:69" ht="13.5" customHeight="1">
      <c r="A4" s="235" t="s">
        <v>81</v>
      </c>
      <c r="B4" s="235" t="s">
        <v>82</v>
      </c>
      <c r="C4" s="235" t="s">
        <v>83</v>
      </c>
      <c r="D4" s="321">
        <v>0</v>
      </c>
      <c r="E4" s="382"/>
      <c r="F4" s="385">
        <f>D4-E4</f>
        <v>0</v>
      </c>
      <c r="G4" s="321">
        <v>0</v>
      </c>
      <c r="H4" s="382"/>
      <c r="I4" s="385">
        <f>G4-H4</f>
        <v>0</v>
      </c>
      <c r="J4" s="321">
        <v>0</v>
      </c>
      <c r="K4" s="382"/>
      <c r="L4" s="385">
        <f>J4-K4</f>
        <v>0</v>
      </c>
      <c r="M4" s="321">
        <v>0</v>
      </c>
      <c r="N4" s="382">
        <v>3169</v>
      </c>
      <c r="O4" s="385">
        <f>M4-N4</f>
        <v>-3169</v>
      </c>
      <c r="P4" s="321">
        <v>0</v>
      </c>
      <c r="Q4" s="382">
        <v>5610</v>
      </c>
      <c r="R4" s="385">
        <f>P4-Q4</f>
        <v>-5610</v>
      </c>
      <c r="S4" s="321">
        <v>0</v>
      </c>
      <c r="T4" s="382">
        <v>12879</v>
      </c>
      <c r="U4" s="385">
        <f>S4-T4</f>
        <v>-12879</v>
      </c>
      <c r="V4" s="321">
        <v>0</v>
      </c>
      <c r="W4" s="382">
        <v>12879</v>
      </c>
      <c r="X4" s="385">
        <f>V4-W4</f>
        <v>-12879</v>
      </c>
      <c r="Y4" s="321">
        <v>0</v>
      </c>
      <c r="Z4" s="382">
        <v>12879</v>
      </c>
      <c r="AA4" s="385">
        <f>Y4-Z4</f>
        <v>-12879</v>
      </c>
      <c r="AB4" s="321">
        <v>0</v>
      </c>
      <c r="AC4" s="382">
        <v>12879</v>
      </c>
      <c r="AD4" s="385">
        <f>AB4-AC4</f>
        <v>-12879</v>
      </c>
      <c r="AE4" s="321">
        <v>0</v>
      </c>
      <c r="AF4" s="382">
        <v>12879</v>
      </c>
      <c r="AG4" s="385">
        <f>AE4-AF4</f>
        <v>-12879</v>
      </c>
      <c r="AH4" s="321">
        <v>0</v>
      </c>
      <c r="AI4" s="382">
        <v>12879</v>
      </c>
      <c r="AJ4" s="385">
        <f>AH4-AI4</f>
        <v>-12879</v>
      </c>
      <c r="AK4" s="321">
        <v>0</v>
      </c>
      <c r="AL4" s="382">
        <v>12879</v>
      </c>
      <c r="AM4" s="385">
        <f>AK4-AL4</f>
        <v>-12879</v>
      </c>
      <c r="AN4" s="322" cm="1">
        <f t="array" ref="AN4">SUMPRODUCT((D$1:AK$1&lt;&gt;"Margin")*(D$1:AK$1&lt;&gt;"Salary_$600")*D4:AK4)</f>
        <v>0</v>
      </c>
      <c r="AO4" s="322" cm="1">
        <f t="array" ref="AO4">SUMPRODUCT((D$1:AM$1="Margin")*D4:AM4)</f>
        <v>-98932</v>
      </c>
      <c r="AP4" s="415"/>
      <c r="AQ4" s="242"/>
      <c r="AR4" s="525" t="s">
        <v>81</v>
      </c>
      <c r="AS4" s="525" t="s">
        <v>84</v>
      </c>
      <c r="AU4" s="534"/>
      <c r="AV4" s="534"/>
      <c r="AW4" s="534"/>
    </row>
    <row r="5" spans="1:69" ht="13.5" customHeight="1">
      <c r="A5" s="235" t="s">
        <v>85</v>
      </c>
      <c r="B5" s="235" t="s">
        <v>82</v>
      </c>
      <c r="C5" s="235" t="s">
        <v>83</v>
      </c>
      <c r="D5" s="321"/>
      <c r="E5" s="382">
        <v>25952</v>
      </c>
      <c r="F5" s="385">
        <f t="shared" ref="F5:F12" si="0">D5-E5</f>
        <v>-25952</v>
      </c>
      <c r="G5" s="321"/>
      <c r="H5" s="382">
        <v>26606</v>
      </c>
      <c r="I5" s="385">
        <f t="shared" ref="I5:I12" si="1">G5-H5</f>
        <v>-26606</v>
      </c>
      <c r="J5" s="321"/>
      <c r="K5" s="382">
        <v>22428</v>
      </c>
      <c r="L5" s="385">
        <f t="shared" ref="L5:L12" si="2">J5-K5</f>
        <v>-22428</v>
      </c>
      <c r="M5" s="321"/>
      <c r="N5" s="382">
        <v>27663</v>
      </c>
      <c r="O5" s="385">
        <f t="shared" ref="O5:O12" si="3">M5-N5</f>
        <v>-27663</v>
      </c>
      <c r="P5" s="321"/>
      <c r="Q5" s="382">
        <v>17634</v>
      </c>
      <c r="R5" s="385">
        <f t="shared" ref="R5:R12" si="4">P5-Q5</f>
        <v>-17634</v>
      </c>
      <c r="S5" s="321"/>
      <c r="T5" s="382">
        <v>8174</v>
      </c>
      <c r="U5" s="385">
        <f t="shared" ref="U5:U12" si="5">S5-T5</f>
        <v>-8174</v>
      </c>
      <c r="V5" s="321"/>
      <c r="W5" s="382">
        <v>8174</v>
      </c>
      <c r="X5" s="385">
        <f t="shared" ref="X5:X12" si="6">V5-W5</f>
        <v>-8174</v>
      </c>
      <c r="Y5" s="321"/>
      <c r="Z5" s="382">
        <f>6501+8174</f>
        <v>14675</v>
      </c>
      <c r="AA5" s="385">
        <f t="shared" ref="AA5:AA12" si="7">Y5-Z5</f>
        <v>-14675</v>
      </c>
      <c r="AB5" s="321"/>
      <c r="AC5" s="382">
        <f>6501+8174</f>
        <v>14675</v>
      </c>
      <c r="AD5" s="385">
        <f t="shared" ref="AD5:AD12" si="8">AB5-AC5</f>
        <v>-14675</v>
      </c>
      <c r="AE5" s="321"/>
      <c r="AF5" s="382">
        <f>6501+8174</f>
        <v>14675</v>
      </c>
      <c r="AG5" s="385">
        <f t="shared" ref="AG5:AG12" si="9">AE5-AF5</f>
        <v>-14675</v>
      </c>
      <c r="AH5" s="321"/>
      <c r="AI5" s="382">
        <f>6501+8174</f>
        <v>14675</v>
      </c>
      <c r="AJ5" s="385">
        <f t="shared" ref="AJ5:AJ12" si="10">AH5-AI5</f>
        <v>-14675</v>
      </c>
      <c r="AK5" s="321"/>
      <c r="AL5" s="382">
        <f>6501+8174</f>
        <v>14675</v>
      </c>
      <c r="AM5" s="385">
        <f t="shared" ref="AM5:AM12" si="11">AK5-AL5</f>
        <v>-14675</v>
      </c>
      <c r="AN5" s="322" cm="1">
        <f t="array" ref="AN5">SUMPRODUCT((D$1:AK$1&lt;&gt;"Margin")*(D$1:AK$1&lt;&gt;"Salary_$600")*D5:AK5)</f>
        <v>0</v>
      </c>
      <c r="AO5" s="322" cm="1">
        <f t="array" ref="AO5">SUMPRODUCT((D$1:AM$1="Margin")*D5:AM5)</f>
        <v>-210006</v>
      </c>
      <c r="AP5" s="415"/>
      <c r="AQ5" s="242"/>
      <c r="AR5" s="525" t="s">
        <v>85</v>
      </c>
      <c r="AS5" s="525" t="s">
        <v>84</v>
      </c>
      <c r="AU5" s="534"/>
      <c r="AV5" s="534"/>
      <c r="AW5" s="534"/>
    </row>
    <row r="6" spans="1:69" ht="13.5" customHeight="1">
      <c r="A6" s="235" t="s">
        <v>86</v>
      </c>
      <c r="B6" s="235" t="s">
        <v>82</v>
      </c>
      <c r="C6" s="235" t="s">
        <v>83</v>
      </c>
      <c r="D6" s="321"/>
      <c r="E6" s="382"/>
      <c r="F6" s="385">
        <f t="shared" si="0"/>
        <v>0</v>
      </c>
      <c r="G6" s="321"/>
      <c r="H6" s="382"/>
      <c r="I6" s="385">
        <f t="shared" si="1"/>
        <v>0</v>
      </c>
      <c r="J6" s="321"/>
      <c r="K6" s="382"/>
      <c r="L6" s="385">
        <f t="shared" si="2"/>
        <v>0</v>
      </c>
      <c r="M6" s="321"/>
      <c r="N6" s="382"/>
      <c r="O6" s="385">
        <f t="shared" si="3"/>
        <v>0</v>
      </c>
      <c r="P6" s="321"/>
      <c r="Q6" s="382">
        <v>2572</v>
      </c>
      <c r="R6" s="385">
        <f t="shared" si="4"/>
        <v>-2572</v>
      </c>
      <c r="S6" s="321"/>
      <c r="T6" s="382">
        <v>2572</v>
      </c>
      <c r="U6" s="385">
        <f t="shared" si="5"/>
        <v>-2572</v>
      </c>
      <c r="V6" s="321"/>
      <c r="W6" s="382">
        <v>2572</v>
      </c>
      <c r="X6" s="385">
        <f t="shared" si="6"/>
        <v>-2572</v>
      </c>
      <c r="Y6" s="321"/>
      <c r="Z6" s="382">
        <v>2572</v>
      </c>
      <c r="AA6" s="385">
        <f t="shared" si="7"/>
        <v>-2572</v>
      </c>
      <c r="AB6" s="321"/>
      <c r="AC6" s="382">
        <v>2572</v>
      </c>
      <c r="AD6" s="385">
        <f t="shared" si="8"/>
        <v>-2572</v>
      </c>
      <c r="AE6" s="321"/>
      <c r="AF6" s="382">
        <v>2572</v>
      </c>
      <c r="AG6" s="385">
        <f t="shared" si="9"/>
        <v>-2572</v>
      </c>
      <c r="AH6" s="321"/>
      <c r="AI6" s="382">
        <v>2572</v>
      </c>
      <c r="AJ6" s="385">
        <f t="shared" si="10"/>
        <v>-2572</v>
      </c>
      <c r="AK6" s="321"/>
      <c r="AL6" s="382">
        <v>2572</v>
      </c>
      <c r="AM6" s="385">
        <f t="shared" si="11"/>
        <v>-2572</v>
      </c>
      <c r="AN6" s="322" cm="1">
        <f t="array" ref="AN6">SUMPRODUCT((D$1:AK$1&lt;&gt;"Margin")*(D$1:AK$1&lt;&gt;"Salary_$600")*D6:AK6)</f>
        <v>0</v>
      </c>
      <c r="AO6" s="322" cm="1">
        <f t="array" ref="AO6">SUMPRODUCT((D$1:AM$1="Margin")*D6:AM6)</f>
        <v>-20576</v>
      </c>
      <c r="AP6" s="415"/>
      <c r="AQ6" s="242"/>
      <c r="AR6" s="525" t="s">
        <v>86</v>
      </c>
      <c r="AS6" s="525" t="s">
        <v>84</v>
      </c>
      <c r="AU6" s="534"/>
      <c r="AV6" s="534"/>
      <c r="AW6" s="534"/>
    </row>
    <row r="7" spans="1:69" ht="13.5" customHeight="1">
      <c r="A7" s="235" t="s">
        <v>87</v>
      </c>
      <c r="B7" s="235" t="s">
        <v>82</v>
      </c>
      <c r="C7" s="235" t="s">
        <v>83</v>
      </c>
      <c r="D7" s="321"/>
      <c r="E7" s="382"/>
      <c r="F7" s="385">
        <f t="shared" si="0"/>
        <v>0</v>
      </c>
      <c r="G7" s="321"/>
      <c r="H7" s="382"/>
      <c r="I7" s="385">
        <f t="shared" si="1"/>
        <v>0</v>
      </c>
      <c r="J7" s="321"/>
      <c r="K7" s="382">
        <v>4718</v>
      </c>
      <c r="L7" s="385">
        <f t="shared" si="2"/>
        <v>-4718</v>
      </c>
      <c r="M7" s="321"/>
      <c r="N7" s="382">
        <v>2544</v>
      </c>
      <c r="O7" s="385">
        <f t="shared" si="3"/>
        <v>-2544</v>
      </c>
      <c r="P7" s="321"/>
      <c r="Q7" s="382">
        <v>2544</v>
      </c>
      <c r="R7" s="385">
        <f t="shared" si="4"/>
        <v>-2544</v>
      </c>
      <c r="S7" s="321"/>
      <c r="T7" s="382"/>
      <c r="U7" s="385">
        <f t="shared" si="5"/>
        <v>0</v>
      </c>
      <c r="V7" s="321"/>
      <c r="W7" s="382"/>
      <c r="X7" s="385">
        <f t="shared" si="6"/>
        <v>0</v>
      </c>
      <c r="Y7" s="321"/>
      <c r="Z7" s="382"/>
      <c r="AA7" s="385">
        <f t="shared" si="7"/>
        <v>0</v>
      </c>
      <c r="AB7" s="321"/>
      <c r="AC7" s="382"/>
      <c r="AD7" s="385">
        <f t="shared" si="8"/>
        <v>0</v>
      </c>
      <c r="AE7" s="321"/>
      <c r="AF7" s="382"/>
      <c r="AG7" s="385">
        <f t="shared" si="9"/>
        <v>0</v>
      </c>
      <c r="AH7" s="321"/>
      <c r="AI7" s="382"/>
      <c r="AJ7" s="385">
        <f t="shared" si="10"/>
        <v>0</v>
      </c>
      <c r="AK7" s="321"/>
      <c r="AL7" s="382"/>
      <c r="AM7" s="385">
        <f t="shared" si="11"/>
        <v>0</v>
      </c>
      <c r="AN7" s="322" cm="1">
        <f t="array" ref="AN7">SUMPRODUCT((D$1:AK$1&lt;&gt;"Margin")*(D$1:AK$1&lt;&gt;"Salary_$600")*D7:AK7)</f>
        <v>0</v>
      </c>
      <c r="AO7" s="322" cm="1">
        <f t="array" ref="AO7">SUMPRODUCT((D$1:AM$1="Margin")*D7:AM7)</f>
        <v>-9806</v>
      </c>
      <c r="AP7" s="415"/>
      <c r="AQ7" s="242"/>
      <c r="AR7" s="525" t="s">
        <v>87</v>
      </c>
      <c r="AS7" s="525" t="s">
        <v>84</v>
      </c>
      <c r="AU7" s="534"/>
      <c r="AV7" s="534"/>
      <c r="AW7" s="534"/>
    </row>
    <row r="8" spans="1:69" ht="13.5" customHeight="1">
      <c r="A8" s="235" t="s">
        <v>88</v>
      </c>
      <c r="B8" s="235" t="s">
        <v>82</v>
      </c>
      <c r="C8" s="235" t="s">
        <v>83</v>
      </c>
      <c r="D8" s="321">
        <v>0</v>
      </c>
      <c r="E8" s="382">
        <v>3169</v>
      </c>
      <c r="F8" s="385">
        <f t="shared" si="0"/>
        <v>-3169</v>
      </c>
      <c r="G8" s="321">
        <v>0</v>
      </c>
      <c r="H8" s="382">
        <v>3169</v>
      </c>
      <c r="I8" s="385">
        <f t="shared" si="1"/>
        <v>-3169</v>
      </c>
      <c r="J8" s="321">
        <v>0</v>
      </c>
      <c r="K8" s="382"/>
      <c r="L8" s="385">
        <f t="shared" si="2"/>
        <v>0</v>
      </c>
      <c r="M8" s="321">
        <v>0</v>
      </c>
      <c r="N8" s="382"/>
      <c r="O8" s="385">
        <f t="shared" si="3"/>
        <v>0</v>
      </c>
      <c r="P8" s="321">
        <v>0</v>
      </c>
      <c r="Q8" s="382"/>
      <c r="R8" s="385">
        <f t="shared" si="4"/>
        <v>0</v>
      </c>
      <c r="S8" s="321">
        <v>0</v>
      </c>
      <c r="T8" s="382"/>
      <c r="U8" s="385">
        <f t="shared" si="5"/>
        <v>0</v>
      </c>
      <c r="V8" s="321">
        <v>0</v>
      </c>
      <c r="W8" s="382"/>
      <c r="X8" s="385">
        <f t="shared" si="6"/>
        <v>0</v>
      </c>
      <c r="Y8" s="321">
        <v>0</v>
      </c>
      <c r="Z8" s="382"/>
      <c r="AA8" s="385">
        <f t="shared" si="7"/>
        <v>0</v>
      </c>
      <c r="AB8" s="321">
        <v>0</v>
      </c>
      <c r="AC8" s="382"/>
      <c r="AD8" s="385">
        <f t="shared" si="8"/>
        <v>0</v>
      </c>
      <c r="AE8" s="321">
        <v>0</v>
      </c>
      <c r="AF8" s="382"/>
      <c r="AG8" s="385">
        <f t="shared" si="9"/>
        <v>0</v>
      </c>
      <c r="AH8" s="321">
        <v>0</v>
      </c>
      <c r="AI8" s="382"/>
      <c r="AJ8" s="385">
        <f t="shared" si="10"/>
        <v>0</v>
      </c>
      <c r="AK8" s="321">
        <v>0</v>
      </c>
      <c r="AL8" s="382"/>
      <c r="AM8" s="385">
        <f t="shared" si="11"/>
        <v>0</v>
      </c>
      <c r="AN8" s="322" cm="1">
        <f t="array" ref="AN8">SUMPRODUCT((D$1:AK$1&lt;&gt;"Margin")*(D$1:AK$1&lt;&gt;"Salary_$600")*D8:AK8)</f>
        <v>0</v>
      </c>
      <c r="AO8" s="322" cm="1">
        <f t="array" ref="AO8">SUMPRODUCT((D$1:AM$1="Margin")*D8:AM8)</f>
        <v>-6338</v>
      </c>
      <c r="AP8" s="415"/>
      <c r="AQ8" s="242"/>
      <c r="AR8" s="525" t="s">
        <v>88</v>
      </c>
      <c r="AS8" s="525" t="s">
        <v>84</v>
      </c>
      <c r="AU8" s="534"/>
      <c r="AV8" s="534"/>
      <c r="AW8" s="534"/>
    </row>
    <row r="9" spans="1:69" ht="13.5" customHeight="1">
      <c r="A9" s="235" t="s">
        <v>89</v>
      </c>
      <c r="B9" s="235" t="s">
        <v>82</v>
      </c>
      <c r="C9" s="235" t="s">
        <v>83</v>
      </c>
      <c r="D9" s="321">
        <v>0</v>
      </c>
      <c r="E9" s="382"/>
      <c r="F9" s="385">
        <f t="shared" si="0"/>
        <v>0</v>
      </c>
      <c r="G9" s="321">
        <v>0</v>
      </c>
      <c r="H9" s="382"/>
      <c r="I9" s="385">
        <f t="shared" si="1"/>
        <v>0</v>
      </c>
      <c r="J9" s="321">
        <v>0</v>
      </c>
      <c r="K9" s="382"/>
      <c r="L9" s="385">
        <f t="shared" si="2"/>
        <v>0</v>
      </c>
      <c r="M9" s="321">
        <v>0</v>
      </c>
      <c r="N9" s="382"/>
      <c r="O9" s="385">
        <f t="shared" si="3"/>
        <v>0</v>
      </c>
      <c r="P9" s="321">
        <v>0</v>
      </c>
      <c r="Q9" s="382"/>
      <c r="R9" s="385">
        <f t="shared" si="4"/>
        <v>0</v>
      </c>
      <c r="S9" s="321">
        <v>0</v>
      </c>
      <c r="T9" s="382">
        <v>6501</v>
      </c>
      <c r="U9" s="385">
        <f t="shared" si="5"/>
        <v>-6501</v>
      </c>
      <c r="V9" s="321">
        <v>0</v>
      </c>
      <c r="W9" s="382">
        <v>6501</v>
      </c>
      <c r="X9" s="385">
        <f t="shared" si="6"/>
        <v>-6501</v>
      </c>
      <c r="Y9" s="321">
        <v>0</v>
      </c>
      <c r="Z9" s="382"/>
      <c r="AA9" s="385">
        <f t="shared" si="7"/>
        <v>0</v>
      </c>
      <c r="AB9" s="321">
        <v>0</v>
      </c>
      <c r="AC9" s="382"/>
      <c r="AD9" s="385">
        <f t="shared" si="8"/>
        <v>0</v>
      </c>
      <c r="AE9" s="321">
        <v>0</v>
      </c>
      <c r="AF9" s="382"/>
      <c r="AG9" s="385">
        <f t="shared" si="9"/>
        <v>0</v>
      </c>
      <c r="AH9" s="321">
        <v>0</v>
      </c>
      <c r="AI9" s="382"/>
      <c r="AJ9" s="385">
        <f t="shared" si="10"/>
        <v>0</v>
      </c>
      <c r="AK9" s="321">
        <v>0</v>
      </c>
      <c r="AL9" s="382"/>
      <c r="AM9" s="385">
        <f t="shared" si="11"/>
        <v>0</v>
      </c>
      <c r="AN9" s="322" cm="1">
        <f t="array" ref="AN9">SUMPRODUCT((D$1:AK$1&lt;&gt;"Margin")*(D$1:AK$1&lt;&gt;"Salary_$600")*D9:AK9)</f>
        <v>0</v>
      </c>
      <c r="AO9" s="322" cm="1">
        <f t="array" ref="AO9">SUMPRODUCT((D$1:AM$1="Margin")*D9:AM9)</f>
        <v>-13002</v>
      </c>
      <c r="AP9" s="415"/>
      <c r="AQ9" s="242"/>
      <c r="AR9" s="525" t="s">
        <v>89</v>
      </c>
      <c r="AS9" s="525" t="s">
        <v>84</v>
      </c>
      <c r="AU9" s="534"/>
      <c r="AV9" s="534"/>
      <c r="AW9" s="534"/>
    </row>
    <row r="10" spans="1:69" ht="13.5" customHeight="1">
      <c r="A10" s="235" t="s">
        <v>90</v>
      </c>
      <c r="B10" s="235" t="s">
        <v>82</v>
      </c>
      <c r="C10" s="235" t="s">
        <v>83</v>
      </c>
      <c r="D10" s="321">
        <v>0</v>
      </c>
      <c r="E10" s="382"/>
      <c r="F10" s="385">
        <f t="shared" si="0"/>
        <v>0</v>
      </c>
      <c r="G10" s="321">
        <v>0</v>
      </c>
      <c r="H10" s="382"/>
      <c r="I10" s="385">
        <f t="shared" si="1"/>
        <v>0</v>
      </c>
      <c r="J10" s="321">
        <v>0</v>
      </c>
      <c r="K10" s="382"/>
      <c r="L10" s="385">
        <f t="shared" si="2"/>
        <v>0</v>
      </c>
      <c r="M10" s="321">
        <v>0</v>
      </c>
      <c r="N10" s="382"/>
      <c r="O10" s="385">
        <f t="shared" si="3"/>
        <v>0</v>
      </c>
      <c r="P10" s="321">
        <v>0</v>
      </c>
      <c r="Q10" s="382">
        <v>7445</v>
      </c>
      <c r="R10" s="385">
        <f t="shared" si="4"/>
        <v>-7445</v>
      </c>
      <c r="S10" s="321">
        <v>0</v>
      </c>
      <c r="T10" s="382">
        <v>8786</v>
      </c>
      <c r="U10" s="385">
        <f t="shared" si="5"/>
        <v>-8786</v>
      </c>
      <c r="V10" s="321">
        <v>0</v>
      </c>
      <c r="W10" s="382">
        <v>8786</v>
      </c>
      <c r="X10" s="385">
        <f t="shared" si="6"/>
        <v>-8786</v>
      </c>
      <c r="Y10" s="321">
        <v>0</v>
      </c>
      <c r="Z10" s="382">
        <v>8786</v>
      </c>
      <c r="AA10" s="385">
        <f t="shared" si="7"/>
        <v>-8786</v>
      </c>
      <c r="AB10" s="321">
        <v>0</v>
      </c>
      <c r="AC10" s="382">
        <v>8786</v>
      </c>
      <c r="AD10" s="385">
        <f t="shared" si="8"/>
        <v>-8786</v>
      </c>
      <c r="AE10" s="321">
        <v>0</v>
      </c>
      <c r="AF10" s="382">
        <v>8786</v>
      </c>
      <c r="AG10" s="385">
        <f t="shared" si="9"/>
        <v>-8786</v>
      </c>
      <c r="AH10" s="321">
        <v>0</v>
      </c>
      <c r="AI10" s="382">
        <v>8786</v>
      </c>
      <c r="AJ10" s="385">
        <f t="shared" si="10"/>
        <v>-8786</v>
      </c>
      <c r="AK10" s="321">
        <v>0</v>
      </c>
      <c r="AL10" s="382">
        <v>8786</v>
      </c>
      <c r="AM10" s="385">
        <f t="shared" si="11"/>
        <v>-8786</v>
      </c>
      <c r="AN10" s="322" cm="1">
        <f t="array" ref="AN10">SUMPRODUCT((D$1:AK$1&lt;&gt;"Margin")*(D$1:AK$1&lt;&gt;"Salary_$600")*D10:AK10)</f>
        <v>0</v>
      </c>
      <c r="AO10" s="322" cm="1">
        <f t="array" ref="AO10">SUMPRODUCT((D$1:AM$1="Margin")*D10:AM10)</f>
        <v>-68947</v>
      </c>
      <c r="AP10" s="415"/>
      <c r="AQ10" s="242"/>
      <c r="AR10" s="525" t="s">
        <v>90</v>
      </c>
      <c r="AS10" s="525" t="s">
        <v>84</v>
      </c>
      <c r="AU10" s="534"/>
      <c r="AV10" s="534"/>
      <c r="AW10" s="534"/>
    </row>
    <row r="11" spans="1:69" ht="13.5" customHeight="1">
      <c r="A11" s="235" t="s">
        <v>91</v>
      </c>
      <c r="B11" s="235" t="s">
        <v>82</v>
      </c>
      <c r="C11" s="235" t="s">
        <v>83</v>
      </c>
      <c r="D11" s="321"/>
      <c r="E11" s="382"/>
      <c r="F11" s="385"/>
      <c r="G11" s="321"/>
      <c r="H11" s="382"/>
      <c r="I11" s="385"/>
      <c r="J11" s="321"/>
      <c r="K11" s="382"/>
      <c r="L11" s="385"/>
      <c r="M11" s="321"/>
      <c r="N11" s="382">
        <v>1619</v>
      </c>
      <c r="O11" s="385">
        <f t="shared" si="3"/>
        <v>-1619</v>
      </c>
      <c r="P11" s="321"/>
      <c r="Q11" s="382"/>
      <c r="R11" s="385"/>
      <c r="S11" s="321"/>
      <c r="T11" s="382"/>
      <c r="U11" s="385"/>
      <c r="V11" s="321"/>
      <c r="W11" s="382"/>
      <c r="X11" s="385"/>
      <c r="Y11" s="321"/>
      <c r="Z11" s="382"/>
      <c r="AA11" s="385"/>
      <c r="AB11" s="321"/>
      <c r="AC11" s="382"/>
      <c r="AD11" s="385"/>
      <c r="AE11" s="321"/>
      <c r="AF11" s="382"/>
      <c r="AG11" s="385"/>
      <c r="AH11" s="321"/>
      <c r="AI11" s="382"/>
      <c r="AJ11" s="385"/>
      <c r="AK11" s="321"/>
      <c r="AL11" s="382"/>
      <c r="AM11" s="385"/>
      <c r="AN11" s="322" cm="1">
        <f t="array" ref="AN11">SUMPRODUCT((D$1:AK$1&lt;&gt;"Margin")*(D$1:AK$1&lt;&gt;"Salary_$600")*D11:AK11)</f>
        <v>0</v>
      </c>
      <c r="AO11" s="322" cm="1">
        <f t="array" ref="AO11">SUMPRODUCT((D$1:AM$1="Margin")*D11:AM11)</f>
        <v>-1619</v>
      </c>
      <c r="AP11" s="415"/>
      <c r="AQ11" s="242"/>
      <c r="AR11" s="525" t="s">
        <v>91</v>
      </c>
      <c r="AS11" s="525" t="s">
        <v>84</v>
      </c>
      <c r="AU11" s="534"/>
      <c r="AV11" s="534"/>
      <c r="AW11" s="534"/>
    </row>
    <row r="12" spans="1:69" ht="13.5" customHeight="1">
      <c r="A12" s="235" t="s">
        <v>92</v>
      </c>
      <c r="B12" s="235" t="s">
        <v>82</v>
      </c>
      <c r="C12" s="235" t="s">
        <v>83</v>
      </c>
      <c r="D12" s="321">
        <v>0</v>
      </c>
      <c r="E12" s="382">
        <v>11387</v>
      </c>
      <c r="F12" s="385">
        <f t="shared" si="0"/>
        <v>-11387</v>
      </c>
      <c r="G12" s="321">
        <v>0</v>
      </c>
      <c r="H12" s="382">
        <v>10945</v>
      </c>
      <c r="I12" s="385">
        <f t="shared" si="1"/>
        <v>-10945</v>
      </c>
      <c r="J12" s="321">
        <v>0</v>
      </c>
      <c r="K12" s="382">
        <v>10945</v>
      </c>
      <c r="L12" s="385">
        <f t="shared" si="2"/>
        <v>-10945</v>
      </c>
      <c r="M12" s="321">
        <v>0</v>
      </c>
      <c r="N12" s="382">
        <v>9115</v>
      </c>
      <c r="O12" s="385">
        <f t="shared" si="3"/>
        <v>-9115</v>
      </c>
      <c r="P12" s="321">
        <v>0</v>
      </c>
      <c r="Q12" s="382">
        <v>9115</v>
      </c>
      <c r="R12" s="385">
        <f t="shared" si="4"/>
        <v>-9115</v>
      </c>
      <c r="S12" s="321">
        <v>0</v>
      </c>
      <c r="T12" s="382">
        <v>9115</v>
      </c>
      <c r="U12" s="385">
        <f t="shared" si="5"/>
        <v>-9115</v>
      </c>
      <c r="V12" s="321">
        <v>0</v>
      </c>
      <c r="W12" s="382">
        <v>9115</v>
      </c>
      <c r="X12" s="385">
        <f t="shared" si="6"/>
        <v>-9115</v>
      </c>
      <c r="Y12" s="321">
        <v>0</v>
      </c>
      <c r="Z12" s="382">
        <v>9115</v>
      </c>
      <c r="AA12" s="385">
        <f t="shared" si="7"/>
        <v>-9115</v>
      </c>
      <c r="AB12" s="321">
        <v>0</v>
      </c>
      <c r="AC12" s="382">
        <v>9115</v>
      </c>
      <c r="AD12" s="385">
        <f t="shared" si="8"/>
        <v>-9115</v>
      </c>
      <c r="AE12" s="321">
        <v>0</v>
      </c>
      <c r="AF12" s="382">
        <v>9115</v>
      </c>
      <c r="AG12" s="385">
        <f t="shared" si="9"/>
        <v>-9115</v>
      </c>
      <c r="AH12" s="321">
        <v>0</v>
      </c>
      <c r="AI12" s="382">
        <v>9115</v>
      </c>
      <c r="AJ12" s="385">
        <f t="shared" si="10"/>
        <v>-9115</v>
      </c>
      <c r="AK12" s="321">
        <v>0</v>
      </c>
      <c r="AL12" s="382">
        <v>9115</v>
      </c>
      <c r="AM12" s="385">
        <f t="shared" si="11"/>
        <v>-9115</v>
      </c>
      <c r="AN12" s="322" cm="1">
        <f t="array" ref="AN12">SUMPRODUCT((D$1:AK$1&lt;&gt;"Margin")*(D$1:AK$1&lt;&gt;"Salary_$600")*D12:AK12)</f>
        <v>0</v>
      </c>
      <c r="AO12" s="322" cm="1">
        <f t="array" ref="AO12">SUMPRODUCT((D$1:AM$1="Margin")*D12:AM12)</f>
        <v>-115312</v>
      </c>
      <c r="AP12" s="415"/>
      <c r="AQ12" s="242"/>
      <c r="AR12" s="525" t="s">
        <v>92</v>
      </c>
      <c r="AS12" s="525" t="s">
        <v>84</v>
      </c>
      <c r="AU12" s="534"/>
      <c r="AV12" s="534"/>
      <c r="AW12" s="534"/>
    </row>
    <row r="13" spans="1:69" ht="13.5" customHeight="1">
      <c r="A13" s="235" t="s">
        <v>93</v>
      </c>
      <c r="B13" s="235" t="s">
        <v>94</v>
      </c>
      <c r="C13" s="235" t="s">
        <v>95</v>
      </c>
      <c r="D13" s="321">
        <v>30000</v>
      </c>
      <c r="E13" s="382">
        <v>30276</v>
      </c>
      <c r="F13" s="385">
        <f>D13-E13</f>
        <v>-276</v>
      </c>
      <c r="G13" s="321">
        <v>30000</v>
      </c>
      <c r="H13" s="382">
        <f>'Salary Projections 2026'!$B$2</f>
        <v>26522</v>
      </c>
      <c r="I13" s="385">
        <f>G13-H13</f>
        <v>3478</v>
      </c>
      <c r="J13" s="321">
        <v>30000</v>
      </c>
      <c r="K13" s="382">
        <f>'Salary Projections 2026'!$B$2</f>
        <v>26522</v>
      </c>
      <c r="L13" s="385">
        <f>J13-K13</f>
        <v>3478</v>
      </c>
      <c r="M13" s="321">
        <v>30000</v>
      </c>
      <c r="N13" s="382">
        <f>VLOOKUP($A13,'Salary Projections 2026'!$A:$D,3,FALSE)</f>
        <v>26522</v>
      </c>
      <c r="O13" s="385">
        <f>M13-N13</f>
        <v>3478</v>
      </c>
      <c r="P13" s="321">
        <v>30000</v>
      </c>
      <c r="Q13" s="382">
        <f>VLOOKUP($A13,'Salary Projections 2026'!$A:$D,3,FALSE)</f>
        <v>26522</v>
      </c>
      <c r="R13" s="385">
        <f>P13-Q13</f>
        <v>3478</v>
      </c>
      <c r="S13" s="321">
        <v>30000</v>
      </c>
      <c r="T13" s="382">
        <f>VLOOKUP($A13,'Salary Projections 2026'!$A:$D,3,FALSE)</f>
        <v>26522</v>
      </c>
      <c r="U13" s="385">
        <f>S13-T13</f>
        <v>3478</v>
      </c>
      <c r="V13" s="321">
        <v>30000</v>
      </c>
      <c r="W13" s="382">
        <f>VLOOKUP($A13,'Salary Projections 2026'!$A:$D,3,FALSE)</f>
        <v>26522</v>
      </c>
      <c r="X13" s="385">
        <f>V13-W13</f>
        <v>3478</v>
      </c>
      <c r="Y13" s="321">
        <v>33350</v>
      </c>
      <c r="Z13" s="382">
        <f>VLOOKUP($A13,'Salary Projections 2026'!$A:$D,3,FALSE)</f>
        <v>26522</v>
      </c>
      <c r="AA13" s="385">
        <f>Y13-Z13</f>
        <v>6828</v>
      </c>
      <c r="AB13" s="321">
        <v>33350</v>
      </c>
      <c r="AC13" s="382">
        <f>VLOOKUP($A13,'Salary Projections 2026'!$A:$D,3,FALSE)</f>
        <v>26522</v>
      </c>
      <c r="AD13" s="385">
        <f>AB13-AC13</f>
        <v>6828</v>
      </c>
      <c r="AE13" s="321">
        <v>33350</v>
      </c>
      <c r="AF13" s="382">
        <f>VLOOKUP($A13,'Salary Projections 2026'!$A:$D,4,FALSE)</f>
        <v>26522</v>
      </c>
      <c r="AG13" s="385">
        <f>AE13-AF13</f>
        <v>6828</v>
      </c>
      <c r="AH13" s="321">
        <v>33350</v>
      </c>
      <c r="AI13" s="382">
        <f>VLOOKUP($A13,'Salary Projections 2026'!$A:$D,4,FALSE)</f>
        <v>26522</v>
      </c>
      <c r="AJ13" s="385">
        <f>AH13-AI13</f>
        <v>6828</v>
      </c>
      <c r="AK13" s="321">
        <v>33350</v>
      </c>
      <c r="AL13" s="382">
        <f>VLOOKUP($A13,'Salary Projections 2026'!$A:$D,4,FALSE)</f>
        <v>26522</v>
      </c>
      <c r="AM13" s="385">
        <f>AK13-AL13</f>
        <v>6828</v>
      </c>
      <c r="AN13" s="322" cm="1">
        <f t="array" ref="AN13">SUMPRODUCT((D$1:AK$1&lt;&gt;"Margin")*(D$1:AK$1&lt;&gt;"Salary_$600")*D13:AK13)</f>
        <v>376750</v>
      </c>
      <c r="AO13" s="322" cm="1">
        <f t="array" ref="AO13">SUMPRODUCT((D$1:AM$1="Margin")*D13:AM13)</f>
        <v>54732</v>
      </c>
      <c r="AP13" s="415" t="s">
        <v>96</v>
      </c>
      <c r="AQ13" s="242" t="s">
        <v>31</v>
      </c>
      <c r="AR13" s="525" t="s">
        <v>97</v>
      </c>
      <c r="AS13" s="525" t="s">
        <v>84</v>
      </c>
      <c r="AU13" s="534">
        <v>546884</v>
      </c>
      <c r="AV13" s="534">
        <v>411812</v>
      </c>
      <c r="AW13" s="534">
        <v>98766</v>
      </c>
    </row>
    <row r="14" spans="1:69" ht="13.5" customHeight="1">
      <c r="A14" s="235" t="s">
        <v>98</v>
      </c>
      <c r="B14" s="235" t="s">
        <v>82</v>
      </c>
      <c r="C14" s="235" t="s">
        <v>95</v>
      </c>
      <c r="D14" s="321">
        <v>0</v>
      </c>
      <c r="E14" s="382">
        <v>0</v>
      </c>
      <c r="F14" s="385">
        <v>0</v>
      </c>
      <c r="G14" s="321">
        <v>0</v>
      </c>
      <c r="H14" s="382">
        <v>1341</v>
      </c>
      <c r="I14" s="385">
        <f>G14-H14</f>
        <v>-1341</v>
      </c>
      <c r="J14" s="321">
        <v>5000</v>
      </c>
      <c r="K14" s="382">
        <v>1341</v>
      </c>
      <c r="L14" s="385">
        <f>J14-K14</f>
        <v>3659</v>
      </c>
      <c r="M14" s="321">
        <v>5000</v>
      </c>
      <c r="N14" s="382">
        <v>1341</v>
      </c>
      <c r="O14" s="385">
        <f>M14-N14</f>
        <v>3659</v>
      </c>
      <c r="P14" s="531">
        <v>5000</v>
      </c>
      <c r="Q14" s="382">
        <f>1341/2</f>
        <v>670.5</v>
      </c>
      <c r="R14" s="385">
        <f>P14-Q14</f>
        <v>4329.5</v>
      </c>
      <c r="S14" s="321">
        <v>0</v>
      </c>
      <c r="T14" s="382">
        <v>0</v>
      </c>
      <c r="U14" s="385">
        <v>0</v>
      </c>
      <c r="V14" s="321">
        <v>0</v>
      </c>
      <c r="W14" s="382">
        <v>0</v>
      </c>
      <c r="X14" s="385">
        <v>0</v>
      </c>
      <c r="Y14" s="321">
        <v>0</v>
      </c>
      <c r="Z14" s="382">
        <v>0</v>
      </c>
      <c r="AA14" s="385">
        <v>0</v>
      </c>
      <c r="AB14" s="321">
        <v>0</v>
      </c>
      <c r="AC14" s="382">
        <v>0</v>
      </c>
      <c r="AD14" s="385">
        <v>0</v>
      </c>
      <c r="AE14" s="321">
        <v>0</v>
      </c>
      <c r="AF14" s="382">
        <v>0</v>
      </c>
      <c r="AG14" s="385">
        <v>0</v>
      </c>
      <c r="AH14" s="321">
        <v>0</v>
      </c>
      <c r="AI14" s="382">
        <v>0</v>
      </c>
      <c r="AJ14" s="385">
        <v>0</v>
      </c>
      <c r="AK14" s="321">
        <v>0</v>
      </c>
      <c r="AL14" s="382">
        <v>0</v>
      </c>
      <c r="AM14" s="385">
        <v>0</v>
      </c>
      <c r="AN14" s="322" cm="1">
        <f t="array" ref="AN14">SUMPRODUCT((D$1:AK$1&lt;&gt;"Margin")*(D$1:AK$1&lt;&gt;"Salary_$600")*D14:AK14)</f>
        <v>15000</v>
      </c>
      <c r="AO14" s="322" cm="1">
        <f t="array" ref="AO14">SUMPRODUCT((D$1:AM$1="Margin")*D14:AM14)</f>
        <v>10306.5</v>
      </c>
      <c r="AP14" s="415"/>
      <c r="AQ14" s="242" t="s">
        <v>99</v>
      </c>
      <c r="AR14" s="525" t="s">
        <v>98</v>
      </c>
      <c r="AS14" s="525" t="s">
        <v>84</v>
      </c>
      <c r="AU14" s="534">
        <v>0</v>
      </c>
      <c r="AV14" s="534">
        <v>0</v>
      </c>
      <c r="AW14" s="534">
        <v>0</v>
      </c>
    </row>
    <row r="15" spans="1:69" ht="13.5" customHeight="1">
      <c r="A15" s="235" t="s">
        <v>100</v>
      </c>
      <c r="B15" s="235" t="s">
        <v>94</v>
      </c>
      <c r="C15" s="235" t="s">
        <v>101</v>
      </c>
      <c r="D15" s="321">
        <v>1200</v>
      </c>
      <c r="E15" s="382">
        <v>600</v>
      </c>
      <c r="F15" s="385">
        <f>D15-E15</f>
        <v>600</v>
      </c>
      <c r="G15" s="321">
        <v>0</v>
      </c>
      <c r="H15" s="382"/>
      <c r="I15" s="385"/>
      <c r="J15" s="321">
        <v>0</v>
      </c>
      <c r="K15" s="382"/>
      <c r="L15" s="385"/>
      <c r="M15" s="321">
        <v>0</v>
      </c>
      <c r="N15" s="382"/>
      <c r="O15" s="385"/>
      <c r="P15" s="321">
        <v>0</v>
      </c>
      <c r="Q15" s="382"/>
      <c r="R15" s="385"/>
      <c r="S15" s="321">
        <v>0</v>
      </c>
      <c r="T15" s="382"/>
      <c r="U15" s="385"/>
      <c r="V15" s="321">
        <v>0</v>
      </c>
      <c r="W15" s="382"/>
      <c r="X15" s="385"/>
      <c r="Y15" s="321">
        <v>0</v>
      </c>
      <c r="Z15" s="382"/>
      <c r="AA15" s="385"/>
      <c r="AB15" s="321">
        <v>0</v>
      </c>
      <c r="AC15" s="382"/>
      <c r="AD15" s="385"/>
      <c r="AE15" s="321">
        <v>0</v>
      </c>
      <c r="AF15" s="382"/>
      <c r="AG15" s="385"/>
      <c r="AH15" s="321">
        <v>0</v>
      </c>
      <c r="AI15" s="382"/>
      <c r="AJ15" s="385"/>
      <c r="AK15" s="321">
        <v>0</v>
      </c>
      <c r="AL15" s="382"/>
      <c r="AM15" s="385"/>
      <c r="AN15" s="322" cm="1">
        <f t="array" ref="AN15">SUMPRODUCT((D$1:AK$1&lt;&gt;"Margin")*(D$1:AK$1&lt;&gt;"Salary_$600")*D15:AK15)</f>
        <v>1200</v>
      </c>
      <c r="AO15" s="322" cm="1">
        <f t="array" ref="AO15">SUMPRODUCT((D$1:AM$1="Margin")*D15:AM15)</f>
        <v>600</v>
      </c>
      <c r="AP15" s="415"/>
      <c r="AQ15" s="242" t="s">
        <v>31</v>
      </c>
      <c r="AR15" s="525" t="s">
        <v>102</v>
      </c>
      <c r="AS15" s="525" t="s">
        <v>84</v>
      </c>
      <c r="AU15" s="534"/>
      <c r="AV15" s="534"/>
      <c r="AW15" s="534"/>
    </row>
    <row r="16" spans="1:69" ht="13.5" customHeight="1">
      <c r="A16" s="235" t="s">
        <v>103</v>
      </c>
      <c r="B16" s="235" t="s">
        <v>94</v>
      </c>
      <c r="C16" s="235" t="s">
        <v>95</v>
      </c>
      <c r="D16" s="321">
        <v>0</v>
      </c>
      <c r="E16" s="382"/>
      <c r="F16" s="385"/>
      <c r="G16" s="321">
        <v>8150</v>
      </c>
      <c r="H16" s="382">
        <v>3940</v>
      </c>
      <c r="I16" s="385">
        <f>G16-H16</f>
        <v>4210</v>
      </c>
      <c r="J16" s="321">
        <v>8150</v>
      </c>
      <c r="K16" s="382">
        <v>3940</v>
      </c>
      <c r="L16" s="385">
        <f>J16-K16</f>
        <v>4210</v>
      </c>
      <c r="M16" s="321">
        <v>8150</v>
      </c>
      <c r="N16" s="382">
        <v>3940</v>
      </c>
      <c r="O16" s="385">
        <f>M16-N16</f>
        <v>4210</v>
      </c>
      <c r="P16" s="531">
        <v>8150</v>
      </c>
      <c r="Q16" s="382">
        <v>3940</v>
      </c>
      <c r="R16" s="385">
        <f>P16-Q16</f>
        <v>4210</v>
      </c>
      <c r="S16" s="321">
        <v>8150</v>
      </c>
      <c r="T16" s="382">
        <v>3940</v>
      </c>
      <c r="U16" s="385">
        <f>S16-T16</f>
        <v>4210</v>
      </c>
      <c r="V16" s="321">
        <v>8150</v>
      </c>
      <c r="W16" s="382">
        <v>3940</v>
      </c>
      <c r="X16" s="385">
        <f>V16-W16</f>
        <v>4210</v>
      </c>
      <c r="Y16" s="321">
        <v>8150</v>
      </c>
      <c r="Z16" s="382">
        <v>3940</v>
      </c>
      <c r="AA16" s="385">
        <f>Y16-Z16</f>
        <v>4210</v>
      </c>
      <c r="AB16" s="321">
        <v>8150</v>
      </c>
      <c r="AC16" s="382">
        <v>3940</v>
      </c>
      <c r="AD16" s="385">
        <f>AB16-AC16</f>
        <v>4210</v>
      </c>
      <c r="AE16" s="321">
        <v>8150</v>
      </c>
      <c r="AF16" s="382">
        <v>3940</v>
      </c>
      <c r="AG16" s="385">
        <f>AE16-AF16</f>
        <v>4210</v>
      </c>
      <c r="AH16" s="321">
        <v>8150</v>
      </c>
      <c r="AI16" s="382">
        <v>3940</v>
      </c>
      <c r="AJ16" s="385">
        <f>AH16-AI16</f>
        <v>4210</v>
      </c>
      <c r="AK16" s="321">
        <v>8150</v>
      </c>
      <c r="AL16" s="382">
        <v>3940</v>
      </c>
      <c r="AM16" s="385">
        <f>AK16-AL16</f>
        <v>4210</v>
      </c>
      <c r="AN16" s="322" cm="1">
        <f t="array" ref="AN16">SUMPRODUCT((D$1:AK$1&lt;&gt;"Margin")*(D$1:AK$1&lt;&gt;"Salary_$600")*D16:AK16)</f>
        <v>89650</v>
      </c>
      <c r="AO16" s="322" cm="1">
        <f t="array" ref="AO16">SUMPRODUCT((D$1:AM$1="Margin")*D16:AM16)</f>
        <v>46310</v>
      </c>
      <c r="AP16" s="415"/>
      <c r="AQ16" s="242" t="s">
        <v>31</v>
      </c>
      <c r="AR16" s="525" t="s">
        <v>102</v>
      </c>
      <c r="AS16" s="525" t="s">
        <v>84</v>
      </c>
      <c r="AU16" s="534"/>
      <c r="AV16" s="534"/>
      <c r="AW16" s="534"/>
    </row>
    <row r="17" spans="1:70" ht="13.5" customHeight="1">
      <c r="A17" s="235" t="s">
        <v>104</v>
      </c>
      <c r="B17" s="235" t="s">
        <v>94</v>
      </c>
      <c r="C17" s="235" t="s">
        <v>95</v>
      </c>
      <c r="D17" s="321">
        <v>0</v>
      </c>
      <c r="E17" s="382">
        <v>0</v>
      </c>
      <c r="F17" s="385">
        <v>0</v>
      </c>
      <c r="G17" s="321">
        <v>0</v>
      </c>
      <c r="H17" s="382">
        <v>0</v>
      </c>
      <c r="I17" s="385">
        <v>0</v>
      </c>
      <c r="J17" s="321">
        <v>0</v>
      </c>
      <c r="K17" s="382">
        <v>0</v>
      </c>
      <c r="L17" s="385">
        <v>0</v>
      </c>
      <c r="M17" s="321">
        <v>0</v>
      </c>
      <c r="N17" s="382">
        <v>0</v>
      </c>
      <c r="O17" s="385">
        <v>0</v>
      </c>
      <c r="P17" s="321">
        <v>0</v>
      </c>
      <c r="Q17" s="382">
        <v>0</v>
      </c>
      <c r="R17" s="385">
        <v>0</v>
      </c>
      <c r="S17" s="321">
        <v>2500</v>
      </c>
      <c r="T17" s="382">
        <v>1500</v>
      </c>
      <c r="U17" s="385">
        <f>S17-T17</f>
        <v>1000</v>
      </c>
      <c r="V17" s="321">
        <v>2500</v>
      </c>
      <c r="W17" s="382">
        <v>1500</v>
      </c>
      <c r="X17" s="385">
        <f>V17-W17</f>
        <v>1000</v>
      </c>
      <c r="Y17" s="321">
        <v>2500</v>
      </c>
      <c r="Z17" s="382">
        <v>1500</v>
      </c>
      <c r="AA17" s="385">
        <f>Y17-Z17</f>
        <v>1000</v>
      </c>
      <c r="AB17" s="321">
        <v>2500</v>
      </c>
      <c r="AC17" s="382">
        <v>1500</v>
      </c>
      <c r="AD17" s="385">
        <f>AB17-AC17</f>
        <v>1000</v>
      </c>
      <c r="AE17" s="321">
        <v>2500</v>
      </c>
      <c r="AF17" s="382">
        <v>1500</v>
      </c>
      <c r="AG17" s="385">
        <f t="shared" ref="AG17" si="12">AE17-AF17</f>
        <v>1000</v>
      </c>
      <c r="AH17" s="321">
        <v>2500</v>
      </c>
      <c r="AI17" s="382">
        <v>1500</v>
      </c>
      <c r="AJ17" s="385">
        <f t="shared" ref="AJ17" si="13">AH17-AI17</f>
        <v>1000</v>
      </c>
      <c r="AK17" s="321">
        <v>2500</v>
      </c>
      <c r="AL17" s="382">
        <v>1500</v>
      </c>
      <c r="AM17" s="385">
        <f t="shared" ref="AM17" si="14">AK17-AL17</f>
        <v>1000</v>
      </c>
      <c r="AN17" s="322" cm="1">
        <f t="array" ref="AN17">SUMPRODUCT((D$1:AK$1&lt;&gt;"Margin")*(D$1:AK$1&lt;&gt;"Salary_$600")*D17:AK17)</f>
        <v>17500</v>
      </c>
      <c r="AO17" s="322" cm="1">
        <f t="array" ref="AO17">SUMPRODUCT((D$1:AM$1="Margin")*D17:AM17)</f>
        <v>7000</v>
      </c>
      <c r="AP17" s="415"/>
      <c r="AQ17" s="242"/>
      <c r="AR17" s="525" t="s">
        <v>102</v>
      </c>
      <c r="AS17" s="525" t="s">
        <v>84</v>
      </c>
      <c r="AU17" s="534"/>
      <c r="AV17" s="534"/>
      <c r="AW17" s="534"/>
    </row>
    <row r="18" spans="1:70" ht="13.5" customHeight="1">
      <c r="A18" s="235" t="s">
        <v>105</v>
      </c>
      <c r="B18" s="235" t="s">
        <v>94</v>
      </c>
      <c r="C18" s="235" t="s">
        <v>95</v>
      </c>
      <c r="D18" s="321">
        <v>5000</v>
      </c>
      <c r="E18" s="382">
        <f>VLOOKUP($A18,'Salary Projections 2026'!$A:$D,2,FALSE)</f>
        <v>849</v>
      </c>
      <c r="F18" s="385">
        <f t="shared" ref="F18:F56" si="15">D18-E18</f>
        <v>4151</v>
      </c>
      <c r="G18" s="321">
        <v>0</v>
      </c>
      <c r="H18" s="382">
        <f>VLOOKUP($A18,'Salary Projections 2026'!$A:$D,2,FALSE)</f>
        <v>849</v>
      </c>
      <c r="I18" s="385">
        <f t="shared" ref="I18:I56" si="16">G18-H18</f>
        <v>-849</v>
      </c>
      <c r="J18" s="321">
        <v>702</v>
      </c>
      <c r="K18" s="382">
        <f>VLOOKUP($A18,'Salary Projections 2026'!$A:$D,2,FALSE)</f>
        <v>849</v>
      </c>
      <c r="L18" s="385">
        <f t="shared" ref="L18:L56" si="17">J18-K18</f>
        <v>-147</v>
      </c>
      <c r="M18" s="321">
        <v>0</v>
      </c>
      <c r="N18" s="382">
        <v>0</v>
      </c>
      <c r="O18" s="385">
        <v>0</v>
      </c>
      <c r="P18" s="321">
        <v>0</v>
      </c>
      <c r="Q18" s="382">
        <v>0</v>
      </c>
      <c r="R18" s="385">
        <v>0</v>
      </c>
      <c r="S18" s="321">
        <v>0</v>
      </c>
      <c r="T18" s="382">
        <v>0</v>
      </c>
      <c r="U18" s="385">
        <v>0</v>
      </c>
      <c r="V18" s="321">
        <v>0</v>
      </c>
      <c r="W18" s="382">
        <v>0</v>
      </c>
      <c r="X18" s="385">
        <v>0</v>
      </c>
      <c r="Y18" s="321">
        <v>0</v>
      </c>
      <c r="Z18" s="382">
        <v>0</v>
      </c>
      <c r="AA18" s="385">
        <v>0</v>
      </c>
      <c r="AB18" s="321">
        <v>0</v>
      </c>
      <c r="AC18" s="382">
        <v>0</v>
      </c>
      <c r="AD18" s="385">
        <v>0</v>
      </c>
      <c r="AE18" s="321">
        <v>0</v>
      </c>
      <c r="AF18" s="382">
        <v>0</v>
      </c>
      <c r="AG18" s="385">
        <v>0</v>
      </c>
      <c r="AH18" s="321">
        <v>0</v>
      </c>
      <c r="AI18" s="382">
        <v>0</v>
      </c>
      <c r="AJ18" s="385">
        <v>0</v>
      </c>
      <c r="AK18" s="321">
        <v>0</v>
      </c>
      <c r="AL18" s="382">
        <v>0</v>
      </c>
      <c r="AM18" s="385">
        <v>0</v>
      </c>
      <c r="AN18" s="322" cm="1">
        <f t="array" ref="AN18">SUMPRODUCT((D$1:AK$1&lt;&gt;"Margin")*(D$1:AK$1&lt;&gt;"Salary_$600")*D18:AK18)</f>
        <v>5702</v>
      </c>
      <c r="AO18" s="322" cm="1">
        <f t="array" ref="AO18">SUMPRODUCT((D$1:AM$1="Margin")*D18:AM18)</f>
        <v>3155</v>
      </c>
      <c r="AP18" s="415" t="s">
        <v>106</v>
      </c>
      <c r="AQ18" s="242" t="s">
        <v>99</v>
      </c>
      <c r="AR18" s="525" t="s">
        <v>107</v>
      </c>
      <c r="AS18" s="525" t="s">
        <v>84</v>
      </c>
      <c r="AU18" s="534">
        <v>30190</v>
      </c>
      <c r="AV18" s="534">
        <v>24990</v>
      </c>
      <c r="AW18" s="534">
        <v>5000</v>
      </c>
    </row>
    <row r="19" spans="1:70" ht="13.5" customHeight="1">
      <c r="A19" s="235" t="s">
        <v>108</v>
      </c>
      <c r="B19" s="235" t="s">
        <v>94</v>
      </c>
      <c r="C19" s="235" t="s">
        <v>101</v>
      </c>
      <c r="D19" s="321">
        <v>0</v>
      </c>
      <c r="E19" s="382">
        <f>VLOOKUP($A19,'Salary Projections 2026'!$A:$D,2,FALSE)</f>
        <v>201</v>
      </c>
      <c r="F19" s="385">
        <f t="shared" si="15"/>
        <v>-201</v>
      </c>
      <c r="G19" s="321">
        <v>0</v>
      </c>
      <c r="H19" s="382">
        <f>VLOOKUP($A19,'Salary Projections 2026'!$A:$D,2,FALSE)</f>
        <v>201</v>
      </c>
      <c r="I19" s="385">
        <f t="shared" si="16"/>
        <v>-201</v>
      </c>
      <c r="J19" s="321">
        <v>7500</v>
      </c>
      <c r="K19" s="382">
        <f>VLOOKUP($A19,'Salary Projections 2026'!$A:$D,2,FALSE)</f>
        <v>201</v>
      </c>
      <c r="L19" s="385">
        <f t="shared" si="17"/>
        <v>7299</v>
      </c>
      <c r="M19" s="321">
        <v>0</v>
      </c>
      <c r="N19" s="382">
        <f>VLOOKUP($A19,'Salary Projections 2026'!$A:$D,3,FALSE)</f>
        <v>201</v>
      </c>
      <c r="O19" s="385">
        <f t="shared" ref="O19:O56" si="18">M19-N19</f>
        <v>-201</v>
      </c>
      <c r="P19" s="321">
        <v>0</v>
      </c>
      <c r="Q19" s="382">
        <f>VLOOKUP($A19,'Salary Projections 2026'!$A:$D,3,FALSE)</f>
        <v>201</v>
      </c>
      <c r="R19" s="385">
        <f t="shared" ref="R19:R56" si="19">P19-Q19</f>
        <v>-201</v>
      </c>
      <c r="S19" s="321">
        <v>0</v>
      </c>
      <c r="T19" s="382">
        <f>VLOOKUP($A19,'Salary Projections 2026'!$A:$D,3,FALSE)</f>
        <v>201</v>
      </c>
      <c r="U19" s="385">
        <f t="shared" ref="U19:U56" si="20">S19-T19</f>
        <v>-201</v>
      </c>
      <c r="V19" s="321"/>
      <c r="W19" s="382">
        <f>VLOOKUP($A19,'Salary Projections 2026'!$A:$D,3,FALSE)</f>
        <v>201</v>
      </c>
      <c r="X19" s="385">
        <f t="shared" ref="X19:X56" si="21">V19-W19</f>
        <v>-201</v>
      </c>
      <c r="Y19" s="321">
        <v>0</v>
      </c>
      <c r="Z19" s="382">
        <f>VLOOKUP($A19,'Salary Projections 2026'!$A:$D,3,FALSE)</f>
        <v>201</v>
      </c>
      <c r="AA19" s="385">
        <f t="shared" ref="AA19:AA56" si="22">Y19-Z19</f>
        <v>-201</v>
      </c>
      <c r="AB19" s="321">
        <v>0</v>
      </c>
      <c r="AC19" s="382">
        <f>VLOOKUP($A19,'Salary Projections 2026'!$A:$D,3,FALSE)</f>
        <v>201</v>
      </c>
      <c r="AD19" s="385">
        <f t="shared" ref="AD19:AD56" si="23">AB19-AC19</f>
        <v>-201</v>
      </c>
      <c r="AE19" s="321">
        <v>0</v>
      </c>
      <c r="AF19" s="382">
        <f>VLOOKUP($A19,'Salary Projections 2026'!$A:$D,4,FALSE)</f>
        <v>201</v>
      </c>
      <c r="AG19" s="385">
        <f t="shared" ref="AG19:AG56" si="24">AE19-AF19</f>
        <v>-201</v>
      </c>
      <c r="AH19" s="321">
        <v>0</v>
      </c>
      <c r="AI19" s="382">
        <f>VLOOKUP($A19,'Salary Projections 2026'!$A:$D,4,FALSE)</f>
        <v>201</v>
      </c>
      <c r="AJ19" s="385">
        <f t="shared" ref="AJ19:AJ56" si="25">AH19-AI19</f>
        <v>-201</v>
      </c>
      <c r="AK19" s="321">
        <v>0</v>
      </c>
      <c r="AL19" s="382">
        <f>VLOOKUP($A19,'Salary Projections 2026'!$A:$D,4,FALSE)</f>
        <v>201</v>
      </c>
      <c r="AM19" s="385">
        <f t="shared" ref="AM19:AM56" si="26">AK19-AL19</f>
        <v>-201</v>
      </c>
      <c r="AN19" s="322" cm="1">
        <f t="array" ref="AN19">SUMPRODUCT((D$1:AK$1&lt;&gt;"Margin")*(D$1:AK$1&lt;&gt;"Salary_$600")*D19:AK19)</f>
        <v>7500</v>
      </c>
      <c r="AO19" s="322" cm="1">
        <f t="array" ref="AO19">SUMPRODUCT((D$1:AM$1="Margin")*D19:AM19)</f>
        <v>5088</v>
      </c>
      <c r="AP19" s="415" t="s">
        <v>109</v>
      </c>
      <c r="AQ19" s="242" t="s">
        <v>31</v>
      </c>
      <c r="AR19" s="525" t="s">
        <v>110</v>
      </c>
      <c r="AS19" s="525" t="s">
        <v>84</v>
      </c>
      <c r="AU19" s="534">
        <v>7500</v>
      </c>
      <c r="AV19" s="534">
        <v>75000</v>
      </c>
      <c r="AW19" s="534">
        <v>0</v>
      </c>
    </row>
    <row r="20" spans="1:70" ht="13.5" customHeight="1">
      <c r="A20" s="235" t="s">
        <v>111</v>
      </c>
      <c r="B20" s="235" t="s">
        <v>94</v>
      </c>
      <c r="C20" s="235" t="s">
        <v>95</v>
      </c>
      <c r="D20" s="321">
        <v>60499</v>
      </c>
      <c r="E20" s="382">
        <v>34000</v>
      </c>
      <c r="F20" s="385">
        <f t="shared" si="15"/>
        <v>26499</v>
      </c>
      <c r="G20" s="321">
        <f>57475+8825</f>
        <v>66300</v>
      </c>
      <c r="H20" s="382">
        <f>VLOOKUP($A20,'Salary Projections 2026'!$A:$D,2,FALSE)</f>
        <v>38488</v>
      </c>
      <c r="I20" s="385">
        <f t="shared" si="16"/>
        <v>27812</v>
      </c>
      <c r="J20" s="321">
        <f>57475+8825</f>
        <v>66300</v>
      </c>
      <c r="K20" s="382">
        <f>VLOOKUP($A20,'Salary Projections 2026'!$A:$D,2,FALSE)</f>
        <v>38488</v>
      </c>
      <c r="L20" s="385">
        <f t="shared" si="17"/>
        <v>27812</v>
      </c>
      <c r="M20" s="321">
        <v>67885</v>
      </c>
      <c r="N20" s="382">
        <v>37870</v>
      </c>
      <c r="O20" s="385">
        <f t="shared" si="18"/>
        <v>30015</v>
      </c>
      <c r="P20" s="321">
        <f>57475+8825+3875</f>
        <v>70175</v>
      </c>
      <c r="Q20" s="382">
        <f>VLOOKUP($A20,'Salary Projections 2026'!$A:$D,3,FALSE)+1248</f>
        <v>39736</v>
      </c>
      <c r="R20" s="385">
        <f t="shared" si="19"/>
        <v>30439</v>
      </c>
      <c r="S20" s="321">
        <f>57475+8825+3875</f>
        <v>70175</v>
      </c>
      <c r="T20" s="382">
        <f>VLOOKUP($A20,'Salary Projections 2026'!$A:$D,3,FALSE)+1248</f>
        <v>39736</v>
      </c>
      <c r="U20" s="385">
        <f t="shared" si="20"/>
        <v>30439</v>
      </c>
      <c r="V20" s="321">
        <f>57475+8825</f>
        <v>66300</v>
      </c>
      <c r="W20" s="382">
        <f>VLOOKUP($A20,'Salary Projections 2026'!$A:$D,3,FALSE)</f>
        <v>38488</v>
      </c>
      <c r="X20" s="385">
        <f t="shared" si="21"/>
        <v>27812</v>
      </c>
      <c r="Y20" s="321">
        <f>57475+8825</f>
        <v>66300</v>
      </c>
      <c r="Z20" s="382">
        <f>VLOOKUP($A20,'Salary Projections 2026'!$A:$D,3,FALSE)</f>
        <v>38488</v>
      </c>
      <c r="AA20" s="385">
        <f t="shared" si="22"/>
        <v>27812</v>
      </c>
      <c r="AB20" s="321">
        <f>57475+8825</f>
        <v>66300</v>
      </c>
      <c r="AC20" s="382">
        <f>VLOOKUP($A20,'Salary Projections 2026'!$A:$D,3,FALSE)</f>
        <v>38488</v>
      </c>
      <c r="AD20" s="385">
        <f t="shared" si="23"/>
        <v>27812</v>
      </c>
      <c r="AE20" s="321">
        <f>57475+8825</f>
        <v>66300</v>
      </c>
      <c r="AF20" s="382">
        <f>VLOOKUP($A20,'Salary Projections 2026'!$A:$D,4,FALSE)</f>
        <v>38488</v>
      </c>
      <c r="AG20" s="385">
        <f t="shared" si="24"/>
        <v>27812</v>
      </c>
      <c r="AH20" s="321">
        <f>57475+8825</f>
        <v>66300</v>
      </c>
      <c r="AI20" s="382">
        <f>VLOOKUP($A20,'Salary Projections 2026'!$A:$D,4,FALSE)</f>
        <v>38488</v>
      </c>
      <c r="AJ20" s="385">
        <f t="shared" si="25"/>
        <v>27812</v>
      </c>
      <c r="AK20" s="321">
        <f>57475+8825</f>
        <v>66300</v>
      </c>
      <c r="AL20" s="382">
        <f>VLOOKUP($A20,'Salary Projections 2026'!$A:$D,4,FALSE)</f>
        <v>38488</v>
      </c>
      <c r="AM20" s="385">
        <f t="shared" si="26"/>
        <v>27812</v>
      </c>
      <c r="AN20" s="322" cm="1">
        <f t="array" ref="AN20">SUMPRODUCT((D$1:AK$1&lt;&gt;"Margin")*(D$1:AK$1&lt;&gt;"Salary_$600")*D20:AK20)</f>
        <v>799134</v>
      </c>
      <c r="AO20" s="322" cm="1">
        <f t="array" ref="AO20">SUMPRODUCT((D$1:AM$1="Margin")*D20:AM20)</f>
        <v>339888</v>
      </c>
      <c r="AP20" s="415" t="s">
        <v>112</v>
      </c>
      <c r="AQ20" s="242" t="s">
        <v>31</v>
      </c>
      <c r="AR20" s="525" t="s">
        <v>52</v>
      </c>
      <c r="AS20" s="525" t="s">
        <v>84</v>
      </c>
      <c r="AU20" s="534">
        <v>1099676</v>
      </c>
      <c r="AV20" s="534">
        <v>1817631</v>
      </c>
      <c r="AW20" s="534">
        <v>481904</v>
      </c>
    </row>
    <row r="21" spans="1:70" ht="13.5" customHeight="1">
      <c r="A21" s="235" t="s">
        <v>113</v>
      </c>
      <c r="B21" s="235" t="s">
        <v>94</v>
      </c>
      <c r="C21" s="235" t="s">
        <v>95</v>
      </c>
      <c r="D21" s="321">
        <v>5000</v>
      </c>
      <c r="E21" s="382">
        <f>VLOOKUP($A21,'Salary Projections 2026'!$A:$D,2,FALSE)</f>
        <v>3517</v>
      </c>
      <c r="F21" s="385">
        <f t="shared" si="15"/>
        <v>1483</v>
      </c>
      <c r="G21" s="321">
        <v>5000</v>
      </c>
      <c r="H21" s="382">
        <f>VLOOKUP($A21,'Salary Projections 2026'!$A:$D,2,FALSE)</f>
        <v>3517</v>
      </c>
      <c r="I21" s="385">
        <f t="shared" si="16"/>
        <v>1483</v>
      </c>
      <c r="J21" s="321">
        <v>5000</v>
      </c>
      <c r="K21" s="382">
        <f>VLOOKUP($A21,'Salary Projections 2026'!$A:$D,2,FALSE)</f>
        <v>3517</v>
      </c>
      <c r="L21" s="385">
        <f t="shared" si="17"/>
        <v>1483</v>
      </c>
      <c r="M21" s="321">
        <v>5000</v>
      </c>
      <c r="N21" s="382">
        <f>VLOOKUP($A21,'Salary Projections 2026'!$A:$D,3,FALSE)</f>
        <v>3517</v>
      </c>
      <c r="O21" s="385">
        <f t="shared" si="18"/>
        <v>1483</v>
      </c>
      <c r="P21" s="321">
        <v>5000</v>
      </c>
      <c r="Q21" s="382">
        <f>VLOOKUP($A21,'Salary Projections 2026'!$A:$D,3,FALSE)</f>
        <v>3517</v>
      </c>
      <c r="R21" s="385">
        <f t="shared" si="19"/>
        <v>1483</v>
      </c>
      <c r="S21" s="321">
        <v>5000</v>
      </c>
      <c r="T21" s="382">
        <f>VLOOKUP($A21,'Salary Projections 2026'!$A:$D,3,FALSE)</f>
        <v>3517</v>
      </c>
      <c r="U21" s="385">
        <f t="shared" si="20"/>
        <v>1483</v>
      </c>
      <c r="V21" s="321">
        <v>5000</v>
      </c>
      <c r="W21" s="382">
        <f>VLOOKUP($A21,'Salary Projections 2026'!$A:$D,3,FALSE)</f>
        <v>3517</v>
      </c>
      <c r="X21" s="385">
        <f t="shared" si="21"/>
        <v>1483</v>
      </c>
      <c r="Y21" s="321">
        <v>5000</v>
      </c>
      <c r="Z21" s="382">
        <f>VLOOKUP($A21,'Salary Projections 2026'!$A:$D,3,FALSE)</f>
        <v>3517</v>
      </c>
      <c r="AA21" s="385">
        <f t="shared" si="22"/>
        <v>1483</v>
      </c>
      <c r="AB21" s="321">
        <v>5000</v>
      </c>
      <c r="AC21" s="382">
        <f>VLOOKUP($A21,'Salary Projections 2026'!$A:$D,3,FALSE)</f>
        <v>3517</v>
      </c>
      <c r="AD21" s="385">
        <f t="shared" si="23"/>
        <v>1483</v>
      </c>
      <c r="AE21" s="321">
        <v>5000</v>
      </c>
      <c r="AF21" s="382">
        <f>VLOOKUP($A21,'Salary Projections 2026'!$A:$D,4,FALSE)</f>
        <v>3517</v>
      </c>
      <c r="AG21" s="385">
        <f t="shared" si="24"/>
        <v>1483</v>
      </c>
      <c r="AH21" s="321">
        <v>5000</v>
      </c>
      <c r="AI21" s="382">
        <f>VLOOKUP($A21,'Salary Projections 2026'!$A:$D,4,FALSE)</f>
        <v>3517</v>
      </c>
      <c r="AJ21" s="385">
        <f t="shared" si="25"/>
        <v>1483</v>
      </c>
      <c r="AK21" s="321">
        <v>5000</v>
      </c>
      <c r="AL21" s="382">
        <f>VLOOKUP($A21,'Salary Projections 2026'!$A:$D,4,FALSE)</f>
        <v>3517</v>
      </c>
      <c r="AM21" s="385">
        <f t="shared" si="26"/>
        <v>1483</v>
      </c>
      <c r="AN21" s="322" cm="1">
        <f t="array" ref="AN21">SUMPRODUCT((D$1:AK$1&lt;&gt;"Margin")*(D$1:AK$1&lt;&gt;"Salary_$600")*D21:AK21)</f>
        <v>60000</v>
      </c>
      <c r="AO21" s="322" cm="1">
        <f t="array" ref="AO21">SUMPRODUCT((D$1:AM$1="Margin")*D21:AM21)</f>
        <v>17796</v>
      </c>
      <c r="AP21" s="415" t="s">
        <v>114</v>
      </c>
      <c r="AQ21" s="242" t="s">
        <v>31</v>
      </c>
      <c r="AR21" s="525" t="s">
        <v>52</v>
      </c>
      <c r="AS21" s="525" t="s">
        <v>84</v>
      </c>
      <c r="AU21" s="534"/>
      <c r="AV21" s="534"/>
      <c r="AW21" s="534"/>
      <c r="BR21" s="207"/>
    </row>
    <row r="22" spans="1:70" ht="13.5" customHeight="1">
      <c r="A22" s="235" t="s">
        <v>115</v>
      </c>
      <c r="B22" s="235" t="s">
        <v>94</v>
      </c>
      <c r="C22" s="235" t="s">
        <v>95</v>
      </c>
      <c r="D22" s="321">
        <v>81850</v>
      </c>
      <c r="E22" s="382">
        <f>VLOOKUP($A22,'Salary Projections 2026'!$A:$D,2,FALSE)</f>
        <v>55460</v>
      </c>
      <c r="F22" s="385">
        <f t="shared" si="15"/>
        <v>26390</v>
      </c>
      <c r="G22" s="321">
        <v>81850</v>
      </c>
      <c r="H22" s="382">
        <f>VLOOKUP($A22,'Salary Projections 2026'!$A:$D,2,FALSE)</f>
        <v>55460</v>
      </c>
      <c r="I22" s="385">
        <f t="shared" si="16"/>
        <v>26390</v>
      </c>
      <c r="J22" s="321">
        <v>81850</v>
      </c>
      <c r="K22" s="382">
        <f>VLOOKUP($A22,'Salary Projections 2026'!$A:$D,2,FALSE)</f>
        <v>55460</v>
      </c>
      <c r="L22" s="385">
        <f t="shared" si="17"/>
        <v>26390</v>
      </c>
      <c r="M22" s="321">
        <v>81850</v>
      </c>
      <c r="N22" s="382">
        <f>VLOOKUP($A22,'Salary Projections 2026'!$A:$D,3,FALSE)</f>
        <v>53358</v>
      </c>
      <c r="O22" s="385">
        <f t="shared" si="18"/>
        <v>28492</v>
      </c>
      <c r="P22" s="321">
        <v>78000</v>
      </c>
      <c r="Q22" s="382">
        <f>18650+39245</f>
        <v>57895</v>
      </c>
      <c r="R22" s="385">
        <f t="shared" si="19"/>
        <v>20105</v>
      </c>
      <c r="S22" s="321">
        <v>78000</v>
      </c>
      <c r="T22" s="382">
        <f>80*56+39245+12716</f>
        <v>56441</v>
      </c>
      <c r="U22" s="385">
        <f t="shared" si="20"/>
        <v>21559</v>
      </c>
      <c r="V22" s="321">
        <v>78000</v>
      </c>
      <c r="W22" s="382">
        <f>VLOOKUP($A22,'Salary Projections 2026'!$A:$D,3,FALSE)</f>
        <v>53358</v>
      </c>
      <c r="X22" s="385">
        <f t="shared" si="21"/>
        <v>24642</v>
      </c>
      <c r="Y22" s="321">
        <v>78000</v>
      </c>
      <c r="Z22" s="382">
        <f>VLOOKUP($A22,'Salary Projections 2026'!$A:$D,3,FALSE)</f>
        <v>53358</v>
      </c>
      <c r="AA22" s="385">
        <f t="shared" si="22"/>
        <v>24642</v>
      </c>
      <c r="AB22" s="321">
        <v>78000</v>
      </c>
      <c r="AC22" s="382">
        <f>VLOOKUP($A22,'Salary Projections 2026'!$A:$D,3,FALSE)</f>
        <v>53358</v>
      </c>
      <c r="AD22" s="385">
        <f t="shared" si="23"/>
        <v>24642</v>
      </c>
      <c r="AE22" s="321">
        <v>93000</v>
      </c>
      <c r="AF22" s="382">
        <f>VLOOKUP($A22,'Salary Projections 2026'!$A:$D,3,FALSE)</f>
        <v>53358</v>
      </c>
      <c r="AG22" s="385">
        <f t="shared" si="24"/>
        <v>39642</v>
      </c>
      <c r="AH22" s="321">
        <v>93000</v>
      </c>
      <c r="AI22" s="382">
        <f>VLOOKUP($A22,'Salary Projections 2026'!$A:$D,4,FALSE)</f>
        <v>65358</v>
      </c>
      <c r="AJ22" s="385">
        <f t="shared" si="25"/>
        <v>27642</v>
      </c>
      <c r="AK22" s="321">
        <v>93000</v>
      </c>
      <c r="AL22" s="382">
        <f>VLOOKUP($A22,'Salary Projections 2026'!$A:$D,4,FALSE)</f>
        <v>65358</v>
      </c>
      <c r="AM22" s="385">
        <f t="shared" si="26"/>
        <v>27642</v>
      </c>
      <c r="AN22" s="322" cm="1">
        <f t="array" ref="AN22">SUMPRODUCT((D$1:AK$1&lt;&gt;"Margin")*(D$1:AK$1&lt;&gt;"Salary_$600")*D22:AK22)</f>
        <v>996400</v>
      </c>
      <c r="AO22" s="322" cm="1">
        <f t="array" ref="AO22">SUMPRODUCT((D$1:AM$1="Margin")*D22:AM22)</f>
        <v>318178</v>
      </c>
      <c r="AP22" s="415" t="s">
        <v>114</v>
      </c>
      <c r="AQ22" s="242" t="s">
        <v>31</v>
      </c>
      <c r="AR22" s="525" t="s">
        <v>52</v>
      </c>
      <c r="AS22" s="525" t="s">
        <v>84</v>
      </c>
      <c r="AU22" s="534"/>
      <c r="AV22" s="534"/>
      <c r="AW22" s="534"/>
    </row>
    <row r="23" spans="1:70" ht="13.5" customHeight="1">
      <c r="A23" s="235" t="s">
        <v>116</v>
      </c>
      <c r="B23" s="235" t="s">
        <v>94</v>
      </c>
      <c r="C23" s="235" t="s">
        <v>95</v>
      </c>
      <c r="D23" s="321">
        <v>4500</v>
      </c>
      <c r="E23" s="382">
        <f>VLOOKUP($A23,'Salary Projections 2026'!$A:$D,2,FALSE)</f>
        <v>3568</v>
      </c>
      <c r="F23" s="385">
        <f t="shared" si="15"/>
        <v>932</v>
      </c>
      <c r="G23" s="321">
        <v>4500</v>
      </c>
      <c r="H23" s="382">
        <f>VLOOKUP($A23,'Salary Projections 2026'!$A:$D,2,FALSE)</f>
        <v>3568</v>
      </c>
      <c r="I23" s="385">
        <f t="shared" si="16"/>
        <v>932</v>
      </c>
      <c r="J23" s="321">
        <v>4500</v>
      </c>
      <c r="K23" s="382">
        <f>VLOOKUP($A23,'Salary Projections 2026'!$A:$D,2,FALSE)</f>
        <v>3568</v>
      </c>
      <c r="L23" s="385">
        <f t="shared" si="17"/>
        <v>932</v>
      </c>
      <c r="M23" s="321">
        <v>4500</v>
      </c>
      <c r="N23" s="382">
        <f>VLOOKUP($A23,'Salary Projections 2026'!$A:$D,3,FALSE)</f>
        <v>3568</v>
      </c>
      <c r="O23" s="385">
        <f t="shared" si="18"/>
        <v>932</v>
      </c>
      <c r="P23" s="321">
        <v>4500</v>
      </c>
      <c r="Q23" s="382">
        <f>VLOOKUP($A23,'Salary Projections 2026'!$A:$D,3,FALSE)</f>
        <v>3568</v>
      </c>
      <c r="R23" s="385">
        <f t="shared" si="19"/>
        <v>932</v>
      </c>
      <c r="S23" s="321">
        <v>4500</v>
      </c>
      <c r="T23" s="382">
        <f>VLOOKUP($A23,'Salary Projections 2026'!$A:$D,3,FALSE)</f>
        <v>3568</v>
      </c>
      <c r="U23" s="385">
        <f t="shared" si="20"/>
        <v>932</v>
      </c>
      <c r="V23" s="321">
        <v>0</v>
      </c>
      <c r="W23" s="382">
        <v>0</v>
      </c>
      <c r="X23" s="385">
        <v>0</v>
      </c>
      <c r="Y23" s="321">
        <v>4500</v>
      </c>
      <c r="Z23" s="382">
        <f>VLOOKUP($A23,'Salary Projections 2026'!$A:$D,3,FALSE)</f>
        <v>3568</v>
      </c>
      <c r="AA23" s="385">
        <f t="shared" si="22"/>
        <v>932</v>
      </c>
      <c r="AB23" s="321">
        <v>4500</v>
      </c>
      <c r="AC23" s="382">
        <f>VLOOKUP($A23,'Salary Projections 2026'!$A:$D,3,FALSE)</f>
        <v>3568</v>
      </c>
      <c r="AD23" s="385">
        <f t="shared" si="23"/>
        <v>932</v>
      </c>
      <c r="AE23" s="321">
        <v>4500</v>
      </c>
      <c r="AF23" s="382">
        <f>VLOOKUP($A23,'Salary Projections 2026'!$A:$D,4,FALSE)</f>
        <v>3568</v>
      </c>
      <c r="AG23" s="385">
        <f t="shared" si="24"/>
        <v>932</v>
      </c>
      <c r="AH23" s="321">
        <v>4500</v>
      </c>
      <c r="AI23" s="382">
        <f>VLOOKUP($A23,'Salary Projections 2026'!$A:$D,4,FALSE)</f>
        <v>3568</v>
      </c>
      <c r="AJ23" s="385">
        <f t="shared" si="25"/>
        <v>932</v>
      </c>
      <c r="AK23" s="321">
        <v>4500</v>
      </c>
      <c r="AL23" s="382">
        <f>VLOOKUP($A23,'Salary Projections 2026'!$A:$D,4,FALSE)</f>
        <v>3568</v>
      </c>
      <c r="AM23" s="385">
        <f t="shared" si="26"/>
        <v>932</v>
      </c>
      <c r="AN23" s="322" cm="1">
        <f t="array" ref="AN23">SUMPRODUCT((D$1:AK$1&lt;&gt;"Margin")*(D$1:AK$1&lt;&gt;"Salary_$600")*D23:AK23)</f>
        <v>49500</v>
      </c>
      <c r="AO23" s="322" cm="1">
        <f t="array" ref="AO23">SUMPRODUCT((D$1:AM$1="Margin")*D23:AM23)</f>
        <v>10252</v>
      </c>
      <c r="AP23" s="415" t="s">
        <v>117</v>
      </c>
      <c r="AQ23" s="242" t="s">
        <v>31</v>
      </c>
      <c r="AR23" s="525" t="s">
        <v>52</v>
      </c>
      <c r="AS23" s="525" t="s">
        <v>84</v>
      </c>
      <c r="AU23" s="534"/>
      <c r="AV23" s="534"/>
      <c r="AW23" s="534"/>
    </row>
    <row r="24" spans="1:70" ht="13.5" customHeight="1">
      <c r="A24" s="235" t="s">
        <v>118</v>
      </c>
      <c r="B24" s="235" t="s">
        <v>94</v>
      </c>
      <c r="C24" s="235" t="s">
        <v>95</v>
      </c>
      <c r="D24" s="321">
        <v>13500</v>
      </c>
      <c r="E24" s="382">
        <f>VLOOKUP($A24,'Salary Projections 2026'!$A:$D,2,FALSE)</f>
        <v>7419</v>
      </c>
      <c r="F24" s="385">
        <f t="shared" si="15"/>
        <v>6081</v>
      </c>
      <c r="G24" s="321">
        <v>13500</v>
      </c>
      <c r="H24" s="382">
        <f>VLOOKUP($A24,'Salary Projections 2026'!$A:$D,2,FALSE)</f>
        <v>7419</v>
      </c>
      <c r="I24" s="385">
        <f t="shared" si="16"/>
        <v>6081</v>
      </c>
      <c r="J24" s="321">
        <f>13500</f>
        <v>13500</v>
      </c>
      <c r="K24" s="382">
        <f>VLOOKUP($A24,'Salary Projections 2026'!$A:$D,2,FALSE)</f>
        <v>7419</v>
      </c>
      <c r="L24" s="385">
        <f t="shared" si="17"/>
        <v>6081</v>
      </c>
      <c r="M24" s="321">
        <v>9000</v>
      </c>
      <c r="N24" s="382">
        <v>4689</v>
      </c>
      <c r="O24" s="385">
        <f t="shared" si="18"/>
        <v>4311</v>
      </c>
      <c r="P24" s="321">
        <f t="shared" ref="P24:AK24" si="27">3*4500</f>
        <v>13500</v>
      </c>
      <c r="Q24" s="382">
        <f>VLOOKUP($A24,'Salary Projections 2026'!$A:$D,3,FALSE)</f>
        <v>7511</v>
      </c>
      <c r="R24" s="385">
        <f t="shared" si="19"/>
        <v>5989</v>
      </c>
      <c r="S24" s="321">
        <f t="shared" si="27"/>
        <v>13500</v>
      </c>
      <c r="T24" s="382">
        <f>VLOOKUP($A24,'Salary Projections 2026'!$A:$D,3,FALSE)</f>
        <v>7511</v>
      </c>
      <c r="U24" s="385">
        <f t="shared" si="20"/>
        <v>5989</v>
      </c>
      <c r="V24" s="321">
        <f t="shared" si="27"/>
        <v>13500</v>
      </c>
      <c r="W24" s="382">
        <f>VLOOKUP($A24,'Salary Projections 2026'!$A:$D,3,FALSE)</f>
        <v>7511</v>
      </c>
      <c r="X24" s="385">
        <f t="shared" si="21"/>
        <v>5989</v>
      </c>
      <c r="Y24" s="321">
        <f t="shared" si="27"/>
        <v>13500</v>
      </c>
      <c r="Z24" s="382">
        <f>VLOOKUP($A24,'Salary Projections 2026'!$A:$D,3,FALSE)</f>
        <v>7511</v>
      </c>
      <c r="AA24" s="385">
        <f t="shared" si="22"/>
        <v>5989</v>
      </c>
      <c r="AB24" s="321">
        <f t="shared" si="27"/>
        <v>13500</v>
      </c>
      <c r="AC24" s="382">
        <f>VLOOKUP($A24,'Salary Projections 2026'!$A:$D,3,FALSE)</f>
        <v>7511</v>
      </c>
      <c r="AD24" s="385">
        <f t="shared" si="23"/>
        <v>5989</v>
      </c>
      <c r="AE24" s="321">
        <f t="shared" si="27"/>
        <v>13500</v>
      </c>
      <c r="AF24" s="382">
        <f>VLOOKUP($A24,'Salary Projections 2026'!$A:$D,4,FALSE)</f>
        <v>7511</v>
      </c>
      <c r="AG24" s="385">
        <f t="shared" si="24"/>
        <v>5989</v>
      </c>
      <c r="AH24" s="321">
        <f t="shared" si="27"/>
        <v>13500</v>
      </c>
      <c r="AI24" s="382">
        <f>VLOOKUP($A24,'Salary Projections 2026'!$A:$D,4,FALSE)</f>
        <v>7511</v>
      </c>
      <c r="AJ24" s="385">
        <f t="shared" si="25"/>
        <v>5989</v>
      </c>
      <c r="AK24" s="321">
        <f t="shared" si="27"/>
        <v>13500</v>
      </c>
      <c r="AL24" s="382">
        <f>VLOOKUP($A24,'Salary Projections 2026'!$A:$D,4,FALSE)</f>
        <v>7511</v>
      </c>
      <c r="AM24" s="385">
        <f t="shared" si="26"/>
        <v>5989</v>
      </c>
      <c r="AN24" s="322" cm="1">
        <f t="array" ref="AN24">SUMPRODUCT((D$1:AK$1&lt;&gt;"Margin")*(D$1:AK$1&lt;&gt;"Salary_$600")*D24:AK24)</f>
        <v>157500</v>
      </c>
      <c r="AO24" s="322" cm="1">
        <f t="array" ref="AO24">SUMPRODUCT((D$1:AM$1="Margin")*D24:AM24)</f>
        <v>70466</v>
      </c>
      <c r="AP24" s="415" t="s">
        <v>114</v>
      </c>
      <c r="AQ24" s="242" t="s">
        <v>31</v>
      </c>
      <c r="AR24" s="525" t="s">
        <v>52</v>
      </c>
      <c r="AS24" s="525" t="s">
        <v>84</v>
      </c>
      <c r="AU24" s="534"/>
      <c r="AV24" s="534"/>
      <c r="AW24" s="534"/>
    </row>
    <row r="25" spans="1:70" ht="13.5" customHeight="1">
      <c r="A25" s="235" t="s">
        <v>119</v>
      </c>
      <c r="B25" s="235" t="s">
        <v>94</v>
      </c>
      <c r="C25" s="235" t="s">
        <v>95</v>
      </c>
      <c r="D25" s="321">
        <v>0</v>
      </c>
      <c r="E25" s="382">
        <v>0</v>
      </c>
      <c r="F25" s="385">
        <v>0</v>
      </c>
      <c r="G25" s="321">
        <v>0</v>
      </c>
      <c r="H25" s="382">
        <v>0</v>
      </c>
      <c r="I25" s="385">
        <v>0</v>
      </c>
      <c r="J25" s="321">
        <v>0</v>
      </c>
      <c r="K25" s="382">
        <v>0</v>
      </c>
      <c r="L25" s="385">
        <v>0</v>
      </c>
      <c r="M25" s="321">
        <v>0</v>
      </c>
      <c r="N25" s="382">
        <v>0</v>
      </c>
      <c r="O25" s="385">
        <v>0</v>
      </c>
      <c r="P25" s="321">
        <v>0</v>
      </c>
      <c r="Q25" s="382">
        <v>0</v>
      </c>
      <c r="R25" s="385">
        <v>0</v>
      </c>
      <c r="S25" s="321">
        <v>0</v>
      </c>
      <c r="T25" s="382">
        <v>0</v>
      </c>
      <c r="U25" s="385">
        <v>0</v>
      </c>
      <c r="V25" s="321">
        <v>0</v>
      </c>
      <c r="W25" s="382">
        <v>0</v>
      </c>
      <c r="X25" s="385">
        <v>0</v>
      </c>
      <c r="Y25" s="321">
        <v>0</v>
      </c>
      <c r="Z25" s="382">
        <v>0</v>
      </c>
      <c r="AA25" s="385">
        <v>0</v>
      </c>
      <c r="AB25" s="321">
        <v>0</v>
      </c>
      <c r="AC25" s="382">
        <v>0</v>
      </c>
      <c r="AD25" s="385">
        <v>0</v>
      </c>
      <c r="AE25" s="321">
        <v>0</v>
      </c>
      <c r="AF25" s="382">
        <v>0</v>
      </c>
      <c r="AG25" s="385">
        <v>0</v>
      </c>
      <c r="AH25" s="321">
        <v>0</v>
      </c>
      <c r="AI25" s="382">
        <v>0</v>
      </c>
      <c r="AJ25" s="385">
        <v>0</v>
      </c>
      <c r="AK25" s="321">
        <v>0</v>
      </c>
      <c r="AL25" s="382">
        <v>0</v>
      </c>
      <c r="AM25" s="385">
        <v>0</v>
      </c>
      <c r="AN25" s="322" cm="1">
        <f t="array" ref="AN25">SUMPRODUCT((D$1:AK$1&lt;&gt;"Margin")*(D$1:AK$1&lt;&gt;"Salary_$600")*D25:AK25)</f>
        <v>0</v>
      </c>
      <c r="AO25" s="322" cm="1">
        <f t="array" ref="AO25">SUMPRODUCT((D$1:AM$1="Margin")*D25:AM25)</f>
        <v>0</v>
      </c>
      <c r="AP25" s="415"/>
      <c r="AQ25" s="242" t="s">
        <v>120</v>
      </c>
      <c r="AR25" s="525" t="s">
        <v>121</v>
      </c>
      <c r="AS25" s="525" t="s">
        <v>84</v>
      </c>
      <c r="AU25" s="534">
        <v>0</v>
      </c>
      <c r="AV25" s="534">
        <v>0</v>
      </c>
      <c r="AW25" s="534">
        <v>0</v>
      </c>
    </row>
    <row r="26" spans="1:70" ht="13.5" customHeight="1">
      <c r="A26" s="235" t="s">
        <v>122</v>
      </c>
      <c r="B26" s="235" t="s">
        <v>94</v>
      </c>
      <c r="C26" s="235" t="s">
        <v>95</v>
      </c>
      <c r="D26" s="321">
        <v>39000</v>
      </c>
      <c r="E26" s="382">
        <f>VLOOKUP($A26,'Salary Projections 2026'!$A:$D,2,FALSE)</f>
        <v>17108</v>
      </c>
      <c r="F26" s="385">
        <f t="shared" si="15"/>
        <v>21892</v>
      </c>
      <c r="G26" s="321">
        <v>39000</v>
      </c>
      <c r="H26" s="382">
        <f>VLOOKUP($A26,'Salary Projections 2026'!$A:$D,2,FALSE)</f>
        <v>17108</v>
      </c>
      <c r="I26" s="385">
        <f t="shared" si="16"/>
        <v>21892</v>
      </c>
      <c r="J26" s="321">
        <v>39000</v>
      </c>
      <c r="K26" s="382">
        <f>VLOOKUP($A26,'Salary Projections 2026'!$A:$D,2,FALSE)</f>
        <v>17108</v>
      </c>
      <c r="L26" s="385">
        <f t="shared" si="17"/>
        <v>21892</v>
      </c>
      <c r="M26" s="321">
        <v>39000</v>
      </c>
      <c r="N26" s="382">
        <f>VLOOKUP($A26,'Salary Projections 2026'!$A:$D,3,FALSE)</f>
        <v>17108</v>
      </c>
      <c r="O26" s="385">
        <f t="shared" si="18"/>
        <v>21892</v>
      </c>
      <c r="P26" s="321">
        <v>39000</v>
      </c>
      <c r="Q26" s="382">
        <f>VLOOKUP($A26,'Salary Projections 2026'!$A:$D,3,FALSE)</f>
        <v>17108</v>
      </c>
      <c r="R26" s="385">
        <f t="shared" si="19"/>
        <v>21892</v>
      </c>
      <c r="S26" s="321">
        <v>39000</v>
      </c>
      <c r="T26" s="382">
        <f>VLOOKUP($A26,'Salary Projections 2026'!$A:$D,3,FALSE)</f>
        <v>17108</v>
      </c>
      <c r="U26" s="385">
        <f t="shared" si="20"/>
        <v>21892</v>
      </c>
      <c r="V26" s="321">
        <v>39000</v>
      </c>
      <c r="W26" s="382">
        <f>VLOOKUP($A26,'Salary Projections 2026'!$A:$D,3,FALSE)</f>
        <v>17108</v>
      </c>
      <c r="X26" s="385">
        <f t="shared" si="21"/>
        <v>21892</v>
      </c>
      <c r="Y26" s="321">
        <v>39000</v>
      </c>
      <c r="Z26" s="382">
        <f>VLOOKUP($A26,'Salary Projections 2026'!$A:$D,3,FALSE)</f>
        <v>17108</v>
      </c>
      <c r="AA26" s="385">
        <f t="shared" si="22"/>
        <v>21892</v>
      </c>
      <c r="AB26" s="321">
        <v>39000</v>
      </c>
      <c r="AC26" s="382">
        <f>VLOOKUP($A26,'Salary Projections 2026'!$A:$D,3,FALSE)</f>
        <v>17108</v>
      </c>
      <c r="AD26" s="385">
        <f t="shared" si="23"/>
        <v>21892</v>
      </c>
      <c r="AE26" s="321">
        <v>39000</v>
      </c>
      <c r="AF26" s="382">
        <f>VLOOKUP($A26,'Salary Projections 2026'!$A:$D,4,FALSE)</f>
        <v>17108</v>
      </c>
      <c r="AG26" s="385">
        <f t="shared" si="24"/>
        <v>21892</v>
      </c>
      <c r="AH26" s="321">
        <v>39000</v>
      </c>
      <c r="AI26" s="382">
        <f>VLOOKUP($A26,'Salary Projections 2026'!$A:$D,4,FALSE)</f>
        <v>17108</v>
      </c>
      <c r="AJ26" s="385">
        <f t="shared" si="25"/>
        <v>21892</v>
      </c>
      <c r="AK26" s="321">
        <v>39000</v>
      </c>
      <c r="AL26" s="382">
        <f>VLOOKUP($A26,'Salary Projections 2026'!$A:$D,4,FALSE)</f>
        <v>17108</v>
      </c>
      <c r="AM26" s="385">
        <f t="shared" si="26"/>
        <v>21892</v>
      </c>
      <c r="AN26" s="322" cm="1">
        <f t="array" ref="AN26">SUMPRODUCT((D$1:AK$1&lt;&gt;"Margin")*(D$1:AK$1&lt;&gt;"Salary_$600")*D26:AK26)</f>
        <v>468000</v>
      </c>
      <c r="AO26" s="322" cm="1">
        <f t="array" ref="AO26">SUMPRODUCT((D$1:AM$1="Margin")*D26:AM26)</f>
        <v>262704</v>
      </c>
      <c r="AP26" s="415" t="s">
        <v>123</v>
      </c>
      <c r="AQ26" s="242" t="s">
        <v>31</v>
      </c>
      <c r="AR26" s="525" t="s">
        <v>124</v>
      </c>
      <c r="AS26" s="525" t="s">
        <v>84</v>
      </c>
      <c r="AU26" s="534">
        <v>604000</v>
      </c>
      <c r="AV26" s="534">
        <v>468000</v>
      </c>
      <c r="AW26" s="534">
        <v>117000</v>
      </c>
    </row>
    <row r="27" spans="1:70" s="391" customFormat="1" ht="13.5" customHeight="1">
      <c r="A27" s="235" t="s">
        <v>125</v>
      </c>
      <c r="B27" s="235" t="s">
        <v>82</v>
      </c>
      <c r="C27" s="235" t="s">
        <v>101</v>
      </c>
      <c r="D27" s="321">
        <v>0</v>
      </c>
      <c r="E27" s="382">
        <f>VLOOKUP($A27,'Salary Projections 2026'!$A:$D,2,FALSE)</f>
        <v>22701.666666666664</v>
      </c>
      <c r="F27" s="385">
        <f t="shared" si="15"/>
        <v>-22701.666666666664</v>
      </c>
      <c r="G27" s="321">
        <v>0</v>
      </c>
      <c r="H27" s="382">
        <f>VLOOKUP($A27,'Salary Projections 2026'!$A:$D,2,FALSE)</f>
        <v>22701.666666666664</v>
      </c>
      <c r="I27" s="385">
        <f t="shared" si="16"/>
        <v>-22701.666666666664</v>
      </c>
      <c r="J27" s="531">
        <v>116000</v>
      </c>
      <c r="K27" s="382">
        <f>VLOOKUP($A27,'Salary Projections 2026'!$A:$D,2,FALSE)</f>
        <v>22701.666666666664</v>
      </c>
      <c r="L27" s="385">
        <f t="shared" si="17"/>
        <v>93298.333333333343</v>
      </c>
      <c r="M27" s="321">
        <v>0</v>
      </c>
      <c r="N27" s="382">
        <v>4566</v>
      </c>
      <c r="O27" s="385">
        <f t="shared" si="18"/>
        <v>-4566</v>
      </c>
      <c r="P27" s="321">
        <v>0</v>
      </c>
      <c r="Q27" s="382">
        <v>4566</v>
      </c>
      <c r="R27" s="385">
        <f t="shared" si="19"/>
        <v>-4566</v>
      </c>
      <c r="S27" s="321">
        <v>0</v>
      </c>
      <c r="T27" s="382">
        <v>4566</v>
      </c>
      <c r="U27" s="385">
        <f t="shared" si="20"/>
        <v>-4566</v>
      </c>
      <c r="V27" s="321">
        <v>0</v>
      </c>
      <c r="W27" s="382">
        <v>4566</v>
      </c>
      <c r="X27" s="385">
        <f t="shared" si="21"/>
        <v>-4566</v>
      </c>
      <c r="Y27" s="321">
        <v>0</v>
      </c>
      <c r="Z27" s="382">
        <v>4566</v>
      </c>
      <c r="AA27" s="385">
        <f t="shared" si="22"/>
        <v>-4566</v>
      </c>
      <c r="AB27" s="531">
        <v>131770</v>
      </c>
      <c r="AC27" s="382">
        <v>4566</v>
      </c>
      <c r="AD27" s="385">
        <f t="shared" si="23"/>
        <v>127204</v>
      </c>
      <c r="AE27" s="321">
        <v>0</v>
      </c>
      <c r="AF27" s="382">
        <v>4566</v>
      </c>
      <c r="AG27" s="385">
        <f t="shared" si="24"/>
        <v>-4566</v>
      </c>
      <c r="AH27" s="321">
        <v>0</v>
      </c>
      <c r="AI27" s="382">
        <v>4566</v>
      </c>
      <c r="AJ27" s="385">
        <f t="shared" si="25"/>
        <v>-4566</v>
      </c>
      <c r="AK27" s="321">
        <v>0</v>
      </c>
      <c r="AL27" s="382">
        <v>4566</v>
      </c>
      <c r="AM27" s="385">
        <f t="shared" si="26"/>
        <v>-4566</v>
      </c>
      <c r="AN27" s="322" cm="1">
        <f t="array" ref="AN27">SUMPRODUCT((D$1:AK$1&lt;&gt;"Margin")*(D$1:AK$1&lt;&gt;"Salary_$600")*D27:AK27)</f>
        <v>247770</v>
      </c>
      <c r="AO27" s="322" cm="1">
        <f t="array" ref="AO27">SUMPRODUCT((D$1:AM$1="Margin")*D27:AM27)</f>
        <v>138571</v>
      </c>
      <c r="AP27" s="415" t="s">
        <v>126</v>
      </c>
      <c r="AQ27" s="242" t="s">
        <v>127</v>
      </c>
      <c r="AR27" s="525" t="s">
        <v>125</v>
      </c>
      <c r="AS27" s="525" t="s">
        <v>84</v>
      </c>
      <c r="AT27"/>
      <c r="AU27" s="535">
        <v>543456</v>
      </c>
      <c r="AV27" s="535">
        <v>546277</v>
      </c>
      <c r="AW27" s="535">
        <v>155360</v>
      </c>
      <c r="AX27"/>
      <c r="AY27"/>
      <c r="AZ27"/>
      <c r="BA27"/>
      <c r="BB27"/>
      <c r="BC27"/>
      <c r="BD27"/>
      <c r="BE27"/>
      <c r="BF27"/>
      <c r="BG27"/>
      <c r="BH27"/>
      <c r="BI27"/>
      <c r="BJ27"/>
      <c r="BK27"/>
      <c r="BL27"/>
      <c r="BM27"/>
      <c r="BN27"/>
      <c r="BO27"/>
      <c r="BP27"/>
      <c r="BQ27" s="157"/>
      <c r="BR27" s="167"/>
    </row>
    <row r="28" spans="1:70" s="391" customFormat="1" ht="13.5" customHeight="1">
      <c r="A28" s="235" t="s">
        <v>128</v>
      </c>
      <c r="B28" s="235" t="s">
        <v>82</v>
      </c>
      <c r="C28" s="235" t="s">
        <v>101</v>
      </c>
      <c r="D28" s="321">
        <v>0</v>
      </c>
      <c r="E28" s="382">
        <v>0</v>
      </c>
      <c r="F28" s="385">
        <v>0</v>
      </c>
      <c r="G28" s="321">
        <v>0</v>
      </c>
      <c r="H28" s="382">
        <v>0</v>
      </c>
      <c r="I28" s="486">
        <v>0</v>
      </c>
      <c r="J28" s="531">
        <v>0</v>
      </c>
      <c r="K28" s="487">
        <v>0</v>
      </c>
      <c r="L28" s="385">
        <v>0</v>
      </c>
      <c r="M28" s="321">
        <v>0</v>
      </c>
      <c r="N28" s="382">
        <v>0</v>
      </c>
      <c r="O28" s="385">
        <v>0</v>
      </c>
      <c r="P28" s="321">
        <v>2770</v>
      </c>
      <c r="Q28" s="382">
        <v>0</v>
      </c>
      <c r="R28" s="385">
        <f t="shared" si="19"/>
        <v>2770</v>
      </c>
      <c r="S28" s="321">
        <v>0</v>
      </c>
      <c r="T28" s="382">
        <v>0</v>
      </c>
      <c r="U28" s="385">
        <v>0</v>
      </c>
      <c r="V28" s="321">
        <v>0</v>
      </c>
      <c r="W28" s="382">
        <v>0</v>
      </c>
      <c r="X28" s="385">
        <v>0</v>
      </c>
      <c r="Y28" s="321">
        <v>0</v>
      </c>
      <c r="Z28" s="382">
        <v>0</v>
      </c>
      <c r="AA28" s="385">
        <v>0</v>
      </c>
      <c r="AB28" s="531">
        <v>0</v>
      </c>
      <c r="AC28" s="382">
        <v>0</v>
      </c>
      <c r="AD28" s="385">
        <v>0</v>
      </c>
      <c r="AE28" s="321">
        <v>0</v>
      </c>
      <c r="AF28" s="382">
        <v>0</v>
      </c>
      <c r="AG28" s="385">
        <v>0</v>
      </c>
      <c r="AH28" s="321">
        <v>0</v>
      </c>
      <c r="AI28" s="382">
        <v>0</v>
      </c>
      <c r="AJ28" s="385">
        <v>0</v>
      </c>
      <c r="AK28" s="321">
        <v>0</v>
      </c>
      <c r="AL28" s="382">
        <v>0</v>
      </c>
      <c r="AM28" s="385">
        <v>0</v>
      </c>
      <c r="AN28" s="322" cm="1">
        <f t="array" ref="AN28">SUMPRODUCT((D$1:AK$1&lt;&gt;"Margin")*(D$1:AK$1&lt;&gt;"Salary_$600")*D28:AK28)</f>
        <v>2770</v>
      </c>
      <c r="AO28" s="322" cm="1">
        <f t="array" ref="AO28">SUMPRODUCT((D$1:AM$1="Margin")*D28:AM28)</f>
        <v>2770</v>
      </c>
      <c r="AP28" s="415"/>
      <c r="AQ28" s="242" t="s">
        <v>31</v>
      </c>
      <c r="AR28" s="525" t="s">
        <v>125</v>
      </c>
      <c r="AS28" s="525" t="s">
        <v>84</v>
      </c>
      <c r="AT28"/>
      <c r="AU28" s="535"/>
      <c r="AV28" s="535"/>
      <c r="AW28" s="535"/>
      <c r="AX28"/>
      <c r="AY28"/>
      <c r="AZ28"/>
      <c r="BA28"/>
      <c r="BB28"/>
      <c r="BC28"/>
      <c r="BD28"/>
      <c r="BE28"/>
      <c r="BF28"/>
      <c r="BG28"/>
      <c r="BH28"/>
      <c r="BI28"/>
      <c r="BJ28"/>
      <c r="BK28"/>
      <c r="BL28"/>
      <c r="BM28"/>
      <c r="BN28"/>
      <c r="BO28"/>
      <c r="BP28"/>
      <c r="BQ28" s="157"/>
      <c r="BR28" s="167"/>
    </row>
    <row r="29" spans="1:70" ht="13.5" customHeight="1">
      <c r="A29" s="308" t="s">
        <v>129</v>
      </c>
      <c r="B29" s="235" t="s">
        <v>94</v>
      </c>
      <c r="C29" s="235" t="s">
        <v>95</v>
      </c>
      <c r="D29" s="321">
        <v>0</v>
      </c>
      <c r="E29" s="382">
        <f>VLOOKUP($A29,'Salary Projections 2026'!$A:$D,2,FALSE)</f>
        <v>2698</v>
      </c>
      <c r="F29" s="385">
        <f t="shared" si="15"/>
        <v>-2698</v>
      </c>
      <c r="G29" s="321">
        <v>0</v>
      </c>
      <c r="H29" s="382">
        <f>VLOOKUP($A29,'Salary Projections 2026'!$A:$D,2,FALSE)</f>
        <v>2698</v>
      </c>
      <c r="I29" s="486">
        <f t="shared" si="16"/>
        <v>-2698</v>
      </c>
      <c r="J29" s="321">
        <v>12860</v>
      </c>
      <c r="K29" s="487">
        <f>VLOOKUP($A29,'Salary Projections 2026'!$A:$D,2,FALSE)</f>
        <v>2698</v>
      </c>
      <c r="L29" s="385">
        <f t="shared" si="17"/>
        <v>10162</v>
      </c>
      <c r="M29" s="321">
        <v>0</v>
      </c>
      <c r="N29" s="382">
        <v>0</v>
      </c>
      <c r="O29" s="385">
        <v>0</v>
      </c>
      <c r="P29" s="321">
        <v>0</v>
      </c>
      <c r="Q29" s="382">
        <v>0</v>
      </c>
      <c r="R29" s="385">
        <v>0</v>
      </c>
      <c r="S29" s="321">
        <v>0</v>
      </c>
      <c r="T29" s="382">
        <v>0</v>
      </c>
      <c r="U29" s="385">
        <v>0</v>
      </c>
      <c r="V29" s="321">
        <v>0</v>
      </c>
      <c r="W29" s="382">
        <v>0</v>
      </c>
      <c r="X29" s="385">
        <v>0</v>
      </c>
      <c r="Y29" s="321">
        <v>0</v>
      </c>
      <c r="Z29" s="382">
        <v>0</v>
      </c>
      <c r="AA29" s="385">
        <v>0</v>
      </c>
      <c r="AB29" s="321">
        <v>0</v>
      </c>
      <c r="AC29" s="382">
        <v>0</v>
      </c>
      <c r="AD29" s="385">
        <v>0</v>
      </c>
      <c r="AE29" s="321">
        <v>0</v>
      </c>
      <c r="AF29" s="382">
        <v>0</v>
      </c>
      <c r="AG29" s="385">
        <v>0</v>
      </c>
      <c r="AH29" s="321">
        <v>0</v>
      </c>
      <c r="AI29" s="382">
        <v>0</v>
      </c>
      <c r="AJ29" s="385">
        <v>0</v>
      </c>
      <c r="AK29" s="321">
        <v>0</v>
      </c>
      <c r="AL29" s="382">
        <v>0</v>
      </c>
      <c r="AM29" s="385">
        <v>0</v>
      </c>
      <c r="AN29" s="322" cm="1">
        <f t="array" ref="AN29">SUMPRODUCT((D$1:AK$1&lt;&gt;"Margin")*(D$1:AK$1&lt;&gt;"Salary_$600")*D29:AK29)</f>
        <v>12860</v>
      </c>
      <c r="AO29" s="322" cm="1">
        <f t="array" ref="AO29">SUMPRODUCT((D$1:AM$1="Margin")*D29:AM29)</f>
        <v>4766</v>
      </c>
      <c r="AP29" s="415" t="s">
        <v>130</v>
      </c>
      <c r="AQ29" s="242" t="s">
        <v>99</v>
      </c>
      <c r="AR29" s="525" t="s">
        <v>131</v>
      </c>
      <c r="AS29" s="525" t="s">
        <v>84</v>
      </c>
      <c r="AU29" s="535">
        <v>424016</v>
      </c>
      <c r="AV29" s="535">
        <v>413786</v>
      </c>
      <c r="AW29" s="535">
        <v>107501</v>
      </c>
    </row>
    <row r="30" spans="1:70" ht="13.5" customHeight="1">
      <c r="A30" s="235" t="s">
        <v>132</v>
      </c>
      <c r="B30" s="235" t="s">
        <v>94</v>
      </c>
      <c r="C30" s="235" t="s">
        <v>95</v>
      </c>
      <c r="D30" s="321">
        <v>0</v>
      </c>
      <c r="E30" s="382">
        <f>VLOOKUP($A30,'Salary Projections 2026'!$A:$D,2,FALSE)</f>
        <v>4478</v>
      </c>
      <c r="F30" s="385">
        <f t="shared" si="15"/>
        <v>-4478</v>
      </c>
      <c r="G30" s="321">
        <v>0</v>
      </c>
      <c r="H30" s="382">
        <f>VLOOKUP($A30,'Salary Projections 2026'!$A:$D,2,FALSE)</f>
        <v>4478</v>
      </c>
      <c r="I30" s="486">
        <f t="shared" si="16"/>
        <v>-4478</v>
      </c>
      <c r="J30" s="321">
        <v>18900</v>
      </c>
      <c r="K30" s="487">
        <f>VLOOKUP($A30,'Salary Projections 2026'!$A:$D,2,FALSE)</f>
        <v>4478</v>
      </c>
      <c r="L30" s="385">
        <f t="shared" si="17"/>
        <v>14422</v>
      </c>
      <c r="M30" s="321">
        <v>18000</v>
      </c>
      <c r="N30" s="382">
        <f>VLOOKUP($A30,'Salary Projections 2026'!$A:$D,3,FALSE)</f>
        <v>4478</v>
      </c>
      <c r="O30" s="385">
        <f t="shared" si="18"/>
        <v>13522</v>
      </c>
      <c r="P30" s="321">
        <v>0</v>
      </c>
      <c r="Q30" s="382">
        <f>VLOOKUP($A30,'Salary Projections 2026'!$A:$D,3,FALSE)</f>
        <v>4478</v>
      </c>
      <c r="R30" s="385">
        <f t="shared" si="19"/>
        <v>-4478</v>
      </c>
      <c r="S30" s="321">
        <v>0</v>
      </c>
      <c r="T30" s="382">
        <f>VLOOKUP($A30,'Salary Projections 2026'!$A:$D,3,FALSE)</f>
        <v>4478</v>
      </c>
      <c r="U30" s="385">
        <f t="shared" si="20"/>
        <v>-4478</v>
      </c>
      <c r="V30" s="321">
        <v>0</v>
      </c>
      <c r="W30" s="382">
        <f>VLOOKUP($A30,'Salary Projections 2026'!$A:$D,3,FALSE)</f>
        <v>4478</v>
      </c>
      <c r="X30" s="385">
        <f t="shared" si="21"/>
        <v>-4478</v>
      </c>
      <c r="Y30" s="321">
        <v>0</v>
      </c>
      <c r="Z30" s="382">
        <f>VLOOKUP($A30,'Salary Projections 2026'!$A:$D,3,FALSE)</f>
        <v>4478</v>
      </c>
      <c r="AA30" s="385">
        <f t="shared" si="22"/>
        <v>-4478</v>
      </c>
      <c r="AB30" s="321">
        <v>18900</v>
      </c>
      <c r="AC30" s="382">
        <f>VLOOKUP($A30,'Salary Projections 2026'!$A:$D,3,FALSE)</f>
        <v>4478</v>
      </c>
      <c r="AD30" s="385">
        <f t="shared" si="23"/>
        <v>14422</v>
      </c>
      <c r="AE30" s="321">
        <v>18000</v>
      </c>
      <c r="AF30" s="382">
        <f>VLOOKUP($A30,'Salary Projections 2026'!$A:$D,4,FALSE)</f>
        <v>4478</v>
      </c>
      <c r="AG30" s="385">
        <f t="shared" si="24"/>
        <v>13522</v>
      </c>
      <c r="AH30" s="321">
        <v>0</v>
      </c>
      <c r="AI30" s="382">
        <f>VLOOKUP($A30,'Salary Projections 2026'!$A:$D,4,FALSE)</f>
        <v>4478</v>
      </c>
      <c r="AJ30" s="385">
        <f t="shared" si="25"/>
        <v>-4478</v>
      </c>
      <c r="AK30" s="321">
        <v>0</v>
      </c>
      <c r="AL30" s="382">
        <f>VLOOKUP($A30,'Salary Projections 2026'!$A:$D,4,FALSE)</f>
        <v>4478</v>
      </c>
      <c r="AM30" s="385">
        <f t="shared" si="26"/>
        <v>-4478</v>
      </c>
      <c r="AN30" s="322" cm="1">
        <f t="array" ref="AN30">SUMPRODUCT((D$1:AK$1&lt;&gt;"Margin")*(D$1:AK$1&lt;&gt;"Salary_$600")*D30:AK30)</f>
        <v>73800</v>
      </c>
      <c r="AO30" s="322" cm="1">
        <f t="array" ref="AO30">SUMPRODUCT((D$1:AM$1="Margin")*D30:AM30)</f>
        <v>20064</v>
      </c>
      <c r="AP30" s="415" t="s">
        <v>133</v>
      </c>
      <c r="AQ30" s="242" t="s">
        <v>31</v>
      </c>
      <c r="AR30" s="525" t="s">
        <v>131</v>
      </c>
      <c r="AS30" s="525" t="s">
        <v>84</v>
      </c>
      <c r="AU30" s="534"/>
      <c r="AV30" s="534"/>
      <c r="AW30" s="534"/>
    </row>
    <row r="31" spans="1:70" s="391" customFormat="1" ht="13.5" customHeight="1">
      <c r="A31" s="308" t="s">
        <v>134</v>
      </c>
      <c r="B31" s="235" t="s">
        <v>94</v>
      </c>
      <c r="C31" s="235" t="s">
        <v>95</v>
      </c>
      <c r="D31" s="321">
        <v>0</v>
      </c>
      <c r="E31" s="382">
        <f>VLOOKUP($A31,'Salary Projections 2026'!$A:$D,2,FALSE)</f>
        <v>2543</v>
      </c>
      <c r="F31" s="385">
        <f t="shared" si="15"/>
        <v>-2543</v>
      </c>
      <c r="G31" s="321">
        <v>0</v>
      </c>
      <c r="H31" s="382">
        <f>VLOOKUP($A31,'Salary Projections 2026'!$A:$D,2,FALSE)</f>
        <v>2543</v>
      </c>
      <c r="I31" s="486">
        <f t="shared" si="16"/>
        <v>-2543</v>
      </c>
      <c r="J31" s="321">
        <v>16490</v>
      </c>
      <c r="K31" s="487">
        <f>VLOOKUP($A31,'Salary Projections 2026'!$A:$D,2,FALSE)</f>
        <v>2543</v>
      </c>
      <c r="L31" s="385">
        <f t="shared" si="17"/>
        <v>13947</v>
      </c>
      <c r="M31" s="321">
        <v>0</v>
      </c>
      <c r="N31" s="382">
        <v>0</v>
      </c>
      <c r="O31" s="385">
        <v>0</v>
      </c>
      <c r="P31" s="321">
        <v>0</v>
      </c>
      <c r="Q31" s="382">
        <v>0</v>
      </c>
      <c r="R31" s="385">
        <v>0</v>
      </c>
      <c r="S31" s="321">
        <v>0</v>
      </c>
      <c r="T31" s="382">
        <v>0</v>
      </c>
      <c r="U31" s="385">
        <v>0</v>
      </c>
      <c r="V31" s="321">
        <v>0</v>
      </c>
      <c r="W31" s="382">
        <v>0</v>
      </c>
      <c r="X31" s="385">
        <v>0</v>
      </c>
      <c r="Y31" s="321">
        <v>0</v>
      </c>
      <c r="Z31" s="382">
        <v>0</v>
      </c>
      <c r="AA31" s="385">
        <v>0</v>
      </c>
      <c r="AB31" s="321">
        <v>0</v>
      </c>
      <c r="AC31" s="382">
        <v>0</v>
      </c>
      <c r="AD31" s="385">
        <v>0</v>
      </c>
      <c r="AE31" s="321">
        <v>0</v>
      </c>
      <c r="AF31" s="382">
        <v>0</v>
      </c>
      <c r="AG31" s="385">
        <v>0</v>
      </c>
      <c r="AH31" s="321">
        <v>0</v>
      </c>
      <c r="AI31" s="382">
        <v>0</v>
      </c>
      <c r="AJ31" s="385">
        <v>0</v>
      </c>
      <c r="AK31" s="321">
        <v>0</v>
      </c>
      <c r="AL31" s="382">
        <v>0</v>
      </c>
      <c r="AM31" s="385">
        <v>0</v>
      </c>
      <c r="AN31" s="322" cm="1">
        <f t="array" ref="AN31">SUMPRODUCT((D$1:AK$1&lt;&gt;"Margin")*(D$1:AK$1&lt;&gt;"Salary_$600")*D31:AK31)</f>
        <v>16490</v>
      </c>
      <c r="AO31" s="322" cm="1">
        <f t="array" ref="AO31">SUMPRODUCT((D$1:AM$1="Margin")*D31:AM31)</f>
        <v>8861</v>
      </c>
      <c r="AP31" s="415" t="s">
        <v>133</v>
      </c>
      <c r="AQ31" s="242" t="s">
        <v>99</v>
      </c>
      <c r="AR31" s="525" t="s">
        <v>131</v>
      </c>
      <c r="AS31" s="525" t="s">
        <v>84</v>
      </c>
      <c r="AT31"/>
      <c r="AU31" s="534"/>
      <c r="AV31" s="534"/>
      <c r="AW31" s="534"/>
      <c r="AX31"/>
      <c r="AY31"/>
      <c r="AZ31"/>
      <c r="BA31"/>
      <c r="BB31"/>
      <c r="BC31"/>
      <c r="BD31"/>
      <c r="BE31"/>
      <c r="BF31"/>
      <c r="BG31"/>
      <c r="BH31"/>
      <c r="BI31"/>
      <c r="BJ31"/>
      <c r="BK31"/>
      <c r="BL31"/>
      <c r="BM31"/>
      <c r="BN31"/>
      <c r="BO31"/>
      <c r="BP31"/>
      <c r="BQ31" s="157"/>
      <c r="BR31" s="167"/>
    </row>
    <row r="32" spans="1:70" s="391" customFormat="1" ht="13.5" customHeight="1">
      <c r="A32" s="235" t="s">
        <v>135</v>
      </c>
      <c r="B32" s="235" t="s">
        <v>94</v>
      </c>
      <c r="C32" s="235" t="s">
        <v>101</v>
      </c>
      <c r="D32" s="321">
        <v>0</v>
      </c>
      <c r="E32" s="382">
        <v>0</v>
      </c>
      <c r="F32" s="385">
        <v>0</v>
      </c>
      <c r="G32" s="321">
        <v>0</v>
      </c>
      <c r="H32" s="382">
        <v>0</v>
      </c>
      <c r="I32" s="486">
        <v>0</v>
      </c>
      <c r="J32" s="321">
        <v>22000</v>
      </c>
      <c r="K32" s="487">
        <f>8950+2933+2881+2915/2+0.1*(J32-8950)</f>
        <v>17526.5</v>
      </c>
      <c r="L32" s="385">
        <f t="shared" si="17"/>
        <v>4473.5</v>
      </c>
      <c r="M32" s="321">
        <v>0</v>
      </c>
      <c r="N32" s="382">
        <v>0</v>
      </c>
      <c r="O32" s="385">
        <v>0</v>
      </c>
      <c r="P32" s="321">
        <v>0</v>
      </c>
      <c r="Q32" s="382">
        <v>0</v>
      </c>
      <c r="R32" s="385">
        <v>0</v>
      </c>
      <c r="S32" s="321">
        <v>0</v>
      </c>
      <c r="T32" s="382">
        <v>0</v>
      </c>
      <c r="U32" s="385">
        <v>0</v>
      </c>
      <c r="V32" s="321">
        <v>0</v>
      </c>
      <c r="W32" s="382">
        <v>0</v>
      </c>
      <c r="X32" s="385">
        <v>0</v>
      </c>
      <c r="Y32" s="321">
        <v>0</v>
      </c>
      <c r="Z32" s="382">
        <v>0</v>
      </c>
      <c r="AA32" s="385">
        <v>0</v>
      </c>
      <c r="AB32" s="321">
        <v>0</v>
      </c>
      <c r="AC32" s="382">
        <v>0</v>
      </c>
      <c r="AD32" s="385">
        <v>0</v>
      </c>
      <c r="AE32" s="321">
        <v>0</v>
      </c>
      <c r="AF32" s="382">
        <v>0</v>
      </c>
      <c r="AG32" s="385">
        <v>0</v>
      </c>
      <c r="AH32" s="321">
        <v>0</v>
      </c>
      <c r="AI32" s="382">
        <v>0</v>
      </c>
      <c r="AJ32" s="385">
        <v>0</v>
      </c>
      <c r="AK32" s="321">
        <v>0</v>
      </c>
      <c r="AL32" s="382">
        <v>0</v>
      </c>
      <c r="AM32" s="385">
        <v>0</v>
      </c>
      <c r="AN32" s="322" cm="1">
        <f t="array" ref="AN32">SUMPRODUCT((D$1:AK$1&lt;&gt;"Margin")*(D$1:AK$1&lt;&gt;"Salary_$600")*D32:AK32)</f>
        <v>22000</v>
      </c>
      <c r="AO32" s="322" cm="1">
        <f t="array" ref="AO32">SUMPRODUCT((D$1:AM$1="Margin")*D32:AM32)</f>
        <v>4473.5</v>
      </c>
      <c r="AP32" s="415"/>
      <c r="AQ32" s="242"/>
      <c r="AR32" s="525" t="s">
        <v>131</v>
      </c>
      <c r="AS32" s="525" t="s">
        <v>84</v>
      </c>
      <c r="AT32"/>
      <c r="AU32" s="534"/>
      <c r="AV32" s="534"/>
      <c r="AW32" s="534"/>
      <c r="AX32"/>
      <c r="AY32"/>
      <c r="AZ32"/>
      <c r="BA32"/>
      <c r="BB32"/>
      <c r="BC32"/>
      <c r="BD32"/>
      <c r="BE32"/>
      <c r="BF32"/>
      <c r="BG32"/>
      <c r="BH32"/>
      <c r="BI32"/>
      <c r="BJ32"/>
      <c r="BK32"/>
      <c r="BL32"/>
      <c r="BM32"/>
      <c r="BN32"/>
      <c r="BO32"/>
      <c r="BP32"/>
      <c r="BQ32" s="157"/>
      <c r="BR32" s="167"/>
    </row>
    <row r="33" spans="1:70" s="391" customFormat="1" ht="13.5" customHeight="1">
      <c r="A33" s="235" t="s">
        <v>136</v>
      </c>
      <c r="B33" s="235" t="s">
        <v>94</v>
      </c>
      <c r="C33" s="235" t="s">
        <v>101</v>
      </c>
      <c r="D33" s="321">
        <v>0</v>
      </c>
      <c r="E33" s="382"/>
      <c r="F33" s="385">
        <v>0</v>
      </c>
      <c r="G33" s="321">
        <v>0</v>
      </c>
      <c r="H33" s="382"/>
      <c r="I33" s="486">
        <v>0</v>
      </c>
      <c r="J33" s="321">
        <v>0</v>
      </c>
      <c r="K33" s="487"/>
      <c r="L33" s="385">
        <v>0</v>
      </c>
      <c r="M33" s="321">
        <v>0</v>
      </c>
      <c r="N33" s="382"/>
      <c r="O33" s="385">
        <v>0</v>
      </c>
      <c r="P33" s="321">
        <v>0</v>
      </c>
      <c r="Q33" s="382">
        <f>(2300000/12/90+600)*0.25</f>
        <v>682.40740740740739</v>
      </c>
      <c r="R33" s="385">
        <f>P33-Q33</f>
        <v>-682.40740740740739</v>
      </c>
      <c r="S33" s="321">
        <v>15000</v>
      </c>
      <c r="T33" s="382">
        <f>(2300000/12/90+600)</f>
        <v>2729.6296296296296</v>
      </c>
      <c r="U33" s="385">
        <f>S33-T33</f>
        <v>12270.37037037037</v>
      </c>
      <c r="V33" s="321">
        <v>0</v>
      </c>
      <c r="W33" s="382">
        <f>(2300000/12/90+600)</f>
        <v>2729.6296296296296</v>
      </c>
      <c r="X33" s="385">
        <f>V33-W33</f>
        <v>-2729.6296296296296</v>
      </c>
      <c r="Y33" s="321">
        <v>0</v>
      </c>
      <c r="Z33" s="382">
        <f>(2300000/12/90+600)</f>
        <v>2729.6296296296296</v>
      </c>
      <c r="AA33" s="385">
        <f>Y33-Z33</f>
        <v>-2729.6296296296296</v>
      </c>
      <c r="AB33" s="321">
        <v>0</v>
      </c>
      <c r="AC33" s="382">
        <f>(2300000/12/90+600)</f>
        <v>2729.6296296296296</v>
      </c>
      <c r="AD33" s="385">
        <f>AB33-AC33</f>
        <v>-2729.6296296296296</v>
      </c>
      <c r="AE33" s="321">
        <v>15000</v>
      </c>
      <c r="AF33" s="382">
        <f>(2300000/12/90+600)</f>
        <v>2729.6296296296296</v>
      </c>
      <c r="AG33" s="385">
        <f>AE33-AF33</f>
        <v>12270.37037037037</v>
      </c>
      <c r="AH33" s="321">
        <v>0</v>
      </c>
      <c r="AI33" s="382">
        <f>(2300000/12/90+600)</f>
        <v>2729.6296296296296</v>
      </c>
      <c r="AJ33" s="385">
        <f>AH33-AI33</f>
        <v>-2729.6296296296296</v>
      </c>
      <c r="AK33" s="321">
        <v>15000</v>
      </c>
      <c r="AL33" s="382">
        <f>(2300000/12/90+600)</f>
        <v>2729.6296296296296</v>
      </c>
      <c r="AM33" s="385">
        <f>AK33-AL33</f>
        <v>12270.37037037037</v>
      </c>
      <c r="AN33" s="322" cm="1">
        <f t="array" ref="AN33">SUMPRODUCT((D$1:AK$1&lt;&gt;"Margin")*(D$1:AK$1&lt;&gt;"Salary_$600")*D33:AK33)</f>
        <v>45000</v>
      </c>
      <c r="AO33" s="322" cm="1">
        <f t="array" ref="AO33">SUMPRODUCT((D$1:AM$1="Margin")*D33:AM33)</f>
        <v>25210.185185185186</v>
      </c>
      <c r="AP33" s="415" t="s">
        <v>137</v>
      </c>
      <c r="AQ33" s="242" t="s">
        <v>31</v>
      </c>
      <c r="AR33" s="525" t="s">
        <v>131</v>
      </c>
      <c r="AS33" s="525" t="s">
        <v>84</v>
      </c>
      <c r="AT33"/>
      <c r="AU33" s="534"/>
      <c r="AV33" s="534"/>
      <c r="AW33" s="534"/>
      <c r="AX33"/>
      <c r="AY33"/>
      <c r="AZ33"/>
      <c r="BA33"/>
      <c r="BB33"/>
      <c r="BC33"/>
      <c r="BD33"/>
      <c r="BE33"/>
      <c r="BF33"/>
      <c r="BG33"/>
      <c r="BH33"/>
      <c r="BI33"/>
      <c r="BJ33"/>
      <c r="BK33"/>
      <c r="BL33"/>
      <c r="BM33"/>
      <c r="BN33"/>
      <c r="BO33"/>
      <c r="BP33"/>
      <c r="BQ33" s="157"/>
      <c r="BR33" s="167"/>
    </row>
    <row r="34" spans="1:70" s="391" customFormat="1" ht="13.5" customHeight="1">
      <c r="A34" s="235" t="s">
        <v>138</v>
      </c>
      <c r="B34" s="235" t="s">
        <v>94</v>
      </c>
      <c r="C34" s="235" t="s">
        <v>101</v>
      </c>
      <c r="D34" s="321"/>
      <c r="E34" s="382">
        <v>0</v>
      </c>
      <c r="F34" s="385">
        <v>0</v>
      </c>
      <c r="G34" s="321">
        <v>0</v>
      </c>
      <c r="H34" s="382">
        <v>0</v>
      </c>
      <c r="I34" s="486">
        <v>0</v>
      </c>
      <c r="J34" s="321">
        <v>0</v>
      </c>
      <c r="K34" s="487">
        <v>0</v>
      </c>
      <c r="L34" s="385">
        <v>0</v>
      </c>
      <c r="M34" s="321">
        <v>0</v>
      </c>
      <c r="N34" s="382">
        <v>0</v>
      </c>
      <c r="O34" s="385">
        <v>0</v>
      </c>
      <c r="P34" s="321">
        <v>0</v>
      </c>
      <c r="Q34" s="382">
        <v>0</v>
      </c>
      <c r="R34" s="385">
        <v>0</v>
      </c>
      <c r="S34" s="321">
        <v>7950</v>
      </c>
      <c r="T34" s="382">
        <v>7950</v>
      </c>
      <c r="U34" s="385">
        <v>0</v>
      </c>
      <c r="V34" s="321">
        <v>0</v>
      </c>
      <c r="W34" s="382">
        <v>0</v>
      </c>
      <c r="X34" s="385">
        <v>0</v>
      </c>
      <c r="Y34" s="321">
        <v>0</v>
      </c>
      <c r="Z34" s="382">
        <v>0</v>
      </c>
      <c r="AA34" s="385">
        <v>0</v>
      </c>
      <c r="AB34" s="321">
        <v>0</v>
      </c>
      <c r="AC34" s="382">
        <v>0</v>
      </c>
      <c r="AD34" s="385">
        <v>0</v>
      </c>
      <c r="AE34" s="321">
        <v>0</v>
      </c>
      <c r="AF34" s="382">
        <v>0</v>
      </c>
      <c r="AG34" s="385">
        <v>0</v>
      </c>
      <c r="AH34" s="321">
        <v>0</v>
      </c>
      <c r="AI34" s="382">
        <v>0</v>
      </c>
      <c r="AJ34" s="385">
        <v>0</v>
      </c>
      <c r="AK34" s="321">
        <v>0</v>
      </c>
      <c r="AL34" s="382">
        <v>0</v>
      </c>
      <c r="AM34" s="385">
        <v>9</v>
      </c>
      <c r="AN34" s="322" cm="1">
        <f t="array" ref="AN34">SUMPRODUCT((D$1:AK$1&lt;&gt;"Margin")*(D$1:AK$1&lt;&gt;"Salary_$600")*D34:AK34)</f>
        <v>7950</v>
      </c>
      <c r="AO34" s="322" cm="1">
        <f t="array" ref="AO34">SUMPRODUCT((D$1:AM$1="Margin")*D34:AM34)</f>
        <v>9</v>
      </c>
      <c r="AP34" s="415"/>
      <c r="AQ34" s="242"/>
      <c r="AR34" s="525" t="s">
        <v>131</v>
      </c>
      <c r="AS34" s="525" t="s">
        <v>84</v>
      </c>
      <c r="AT34"/>
      <c r="AU34" s="534"/>
      <c r="AV34" s="534"/>
      <c r="AW34" s="534"/>
      <c r="AX34"/>
      <c r="AY34"/>
      <c r="AZ34"/>
      <c r="BA34"/>
      <c r="BB34"/>
      <c r="BC34"/>
      <c r="BD34"/>
      <c r="BE34"/>
      <c r="BF34"/>
      <c r="BG34"/>
      <c r="BH34"/>
      <c r="BI34"/>
      <c r="BJ34"/>
      <c r="BK34"/>
      <c r="BL34"/>
      <c r="BM34"/>
      <c r="BN34"/>
      <c r="BO34"/>
      <c r="BP34"/>
      <c r="BQ34" s="157"/>
      <c r="BR34" s="167"/>
    </row>
    <row r="35" spans="1:70" s="391" customFormat="1" ht="13.5" customHeight="1">
      <c r="A35" s="235" t="s">
        <v>139</v>
      </c>
      <c r="B35" s="235" t="s">
        <v>94</v>
      </c>
      <c r="C35" s="235" t="s">
        <v>101</v>
      </c>
      <c r="D35" s="321">
        <v>0</v>
      </c>
      <c r="E35" s="382">
        <v>0</v>
      </c>
      <c r="F35" s="385">
        <v>0</v>
      </c>
      <c r="G35" s="321">
        <v>0</v>
      </c>
      <c r="H35" s="382">
        <v>0</v>
      </c>
      <c r="I35" s="385">
        <v>0</v>
      </c>
      <c r="J35" s="321">
        <v>3000</v>
      </c>
      <c r="K35" s="382">
        <v>1741</v>
      </c>
      <c r="L35" s="385">
        <f>J35-K35</f>
        <v>1259</v>
      </c>
      <c r="M35" s="321">
        <v>0</v>
      </c>
      <c r="N35" s="382">
        <v>0</v>
      </c>
      <c r="O35" s="385">
        <v>0</v>
      </c>
      <c r="P35" s="321">
        <v>0</v>
      </c>
      <c r="Q35" s="382">
        <v>0</v>
      </c>
      <c r="R35" s="385">
        <v>0</v>
      </c>
      <c r="S35" s="321">
        <v>0</v>
      </c>
      <c r="T35" s="382">
        <v>0</v>
      </c>
      <c r="U35" s="385">
        <v>0</v>
      </c>
      <c r="V35" s="321">
        <v>0</v>
      </c>
      <c r="W35" s="382">
        <v>0</v>
      </c>
      <c r="X35" s="385">
        <v>0</v>
      </c>
      <c r="Y35" s="321">
        <v>0</v>
      </c>
      <c r="Z35" s="382">
        <v>0</v>
      </c>
      <c r="AA35" s="385">
        <v>0</v>
      </c>
      <c r="AB35" s="321">
        <v>0</v>
      </c>
      <c r="AC35" s="382">
        <v>0</v>
      </c>
      <c r="AD35" s="385">
        <v>0</v>
      </c>
      <c r="AE35" s="321">
        <v>0</v>
      </c>
      <c r="AF35" s="382">
        <v>0</v>
      </c>
      <c r="AG35" s="385">
        <v>0</v>
      </c>
      <c r="AH35" s="321">
        <v>0</v>
      </c>
      <c r="AI35" s="382">
        <v>0</v>
      </c>
      <c r="AJ35" s="385">
        <v>0</v>
      </c>
      <c r="AK35" s="321">
        <v>0</v>
      </c>
      <c r="AL35" s="382">
        <v>0</v>
      </c>
      <c r="AM35" s="385">
        <v>0</v>
      </c>
      <c r="AN35" s="322" cm="1">
        <f t="array" ref="AN35">SUMPRODUCT((D$1:AK$1&lt;&gt;"Margin")*(D$1:AK$1&lt;&gt;"Salary_$600")*D35:AK35)</f>
        <v>3000</v>
      </c>
      <c r="AO35" s="322" cm="1">
        <f t="array" ref="AO35">SUMPRODUCT((D$1:AM$1="Margin")*D35:AM35)</f>
        <v>1259</v>
      </c>
      <c r="AP35" s="415"/>
      <c r="AQ35" s="242"/>
      <c r="AR35" s="525" t="s">
        <v>131</v>
      </c>
      <c r="AS35" s="525" t="s">
        <v>84</v>
      </c>
      <c r="AT35"/>
      <c r="AU35" s="534"/>
      <c r="AV35" s="534"/>
      <c r="AW35" s="534"/>
      <c r="AX35"/>
      <c r="AY35"/>
      <c r="AZ35"/>
      <c r="BA35"/>
      <c r="BB35"/>
      <c r="BC35"/>
      <c r="BD35"/>
      <c r="BE35"/>
      <c r="BF35"/>
      <c r="BG35"/>
      <c r="BH35"/>
      <c r="BI35"/>
      <c r="BJ35"/>
      <c r="BK35"/>
      <c r="BL35"/>
      <c r="BM35"/>
      <c r="BN35"/>
      <c r="BO35"/>
      <c r="BP35"/>
      <c r="BQ35" s="157"/>
      <c r="BR35" s="167"/>
    </row>
    <row r="36" spans="1:70" ht="13.5" customHeight="1">
      <c r="A36" s="235" t="s">
        <v>140</v>
      </c>
      <c r="B36" s="235" t="s">
        <v>94</v>
      </c>
      <c r="C36" s="235" t="s">
        <v>95</v>
      </c>
      <c r="D36" s="321">
        <v>5250</v>
      </c>
      <c r="E36" s="382">
        <f>VLOOKUP($A36,'Salary Projections 2026'!$A:$D,2,FALSE)</f>
        <v>3015</v>
      </c>
      <c r="F36" s="385">
        <f t="shared" si="15"/>
        <v>2235</v>
      </c>
      <c r="G36" s="321">
        <v>4000</v>
      </c>
      <c r="H36" s="382">
        <f>VLOOKUP($A36,'Salary Projections 2026'!$A:$D,2,FALSE)</f>
        <v>3015</v>
      </c>
      <c r="I36" s="385">
        <f t="shared" si="16"/>
        <v>985</v>
      </c>
      <c r="J36" s="321">
        <v>4000</v>
      </c>
      <c r="K36" s="382">
        <f>VLOOKUP($A36,'Salary Projections 2026'!$A:$D,2,FALSE)</f>
        <v>3015</v>
      </c>
      <c r="L36" s="385">
        <f t="shared" si="17"/>
        <v>985</v>
      </c>
      <c r="M36" s="321">
        <v>4000</v>
      </c>
      <c r="N36" s="382">
        <f>VLOOKUP($A36,'Salary Projections 2026'!$A:$D,3,FALSE)</f>
        <v>3015</v>
      </c>
      <c r="O36" s="385">
        <f t="shared" si="18"/>
        <v>985</v>
      </c>
      <c r="P36" s="321">
        <v>4000</v>
      </c>
      <c r="Q36" s="382">
        <f>VLOOKUP($A36,'Salary Projections 2026'!$A:$D,3,FALSE)</f>
        <v>3015</v>
      </c>
      <c r="R36" s="385">
        <f t="shared" si="19"/>
        <v>985</v>
      </c>
      <c r="S36" s="321">
        <v>4000</v>
      </c>
      <c r="T36" s="382">
        <f>VLOOKUP($A36,'Salary Projections 2026'!$A:$D,3,FALSE)</f>
        <v>3015</v>
      </c>
      <c r="U36" s="385">
        <f t="shared" si="20"/>
        <v>985</v>
      </c>
      <c r="V36" s="321">
        <v>4000</v>
      </c>
      <c r="W36" s="382">
        <f>VLOOKUP($A36,'Salary Projections 2026'!$A:$D,3,FALSE)</f>
        <v>3015</v>
      </c>
      <c r="X36" s="385">
        <f t="shared" si="21"/>
        <v>985</v>
      </c>
      <c r="Y36" s="321">
        <v>4000</v>
      </c>
      <c r="Z36" s="382">
        <f>VLOOKUP($A36,'Salary Projections 2026'!$A:$D,3,FALSE)</f>
        <v>3015</v>
      </c>
      <c r="AA36" s="385">
        <f t="shared" si="22"/>
        <v>985</v>
      </c>
      <c r="AB36" s="321">
        <v>4000</v>
      </c>
      <c r="AC36" s="382">
        <f>VLOOKUP($A36,'Salary Projections 2026'!$A:$D,3,FALSE)</f>
        <v>3015</v>
      </c>
      <c r="AD36" s="385">
        <f t="shared" si="23"/>
        <v>985</v>
      </c>
      <c r="AE36" s="321">
        <v>4000</v>
      </c>
      <c r="AF36" s="382">
        <f>VLOOKUP($A36,'Salary Projections 2026'!$A:$D,4,FALSE)</f>
        <v>3015</v>
      </c>
      <c r="AG36" s="385">
        <f t="shared" si="24"/>
        <v>985</v>
      </c>
      <c r="AH36" s="321">
        <v>4000</v>
      </c>
      <c r="AI36" s="382">
        <f>VLOOKUP($A36,'Salary Projections 2026'!$A:$D,4,FALSE)</f>
        <v>3015</v>
      </c>
      <c r="AJ36" s="385">
        <f t="shared" si="25"/>
        <v>985</v>
      </c>
      <c r="AK36" s="321">
        <v>4000</v>
      </c>
      <c r="AL36" s="382">
        <f>VLOOKUP($A36,'Salary Projections 2026'!$A:$D,4,FALSE)</f>
        <v>3015</v>
      </c>
      <c r="AM36" s="385">
        <f t="shared" si="26"/>
        <v>985</v>
      </c>
      <c r="AN36" s="322" cm="1">
        <f t="array" ref="AN36">SUMPRODUCT((D$1:AK$1&lt;&gt;"Margin")*(D$1:AK$1&lt;&gt;"Salary_$600")*D36:AK36)</f>
        <v>49250</v>
      </c>
      <c r="AO36" s="322" cm="1">
        <f t="array" ref="AO36">SUMPRODUCT((D$1:AM$1="Margin")*D36:AM36)</f>
        <v>13070</v>
      </c>
      <c r="AP36" s="415" t="s">
        <v>123</v>
      </c>
      <c r="AQ36" s="242" t="s">
        <v>31</v>
      </c>
      <c r="AR36" s="525" t="s">
        <v>141</v>
      </c>
      <c r="AS36" s="525" t="s">
        <v>84</v>
      </c>
      <c r="AU36" s="534"/>
      <c r="AV36" s="534"/>
      <c r="AW36" s="534"/>
    </row>
    <row r="37" spans="1:70" ht="13.5" customHeight="1">
      <c r="A37" s="235" t="s">
        <v>142</v>
      </c>
      <c r="B37" s="235" t="s">
        <v>94</v>
      </c>
      <c r="C37" s="235" t="s">
        <v>95</v>
      </c>
      <c r="D37" s="321">
        <f>16800/4</f>
        <v>4200</v>
      </c>
      <c r="E37" s="382">
        <f>VLOOKUP($A37,'Salary Projections 2026'!$A:$D,2,FALSE)</f>
        <v>748</v>
      </c>
      <c r="F37" s="385">
        <f t="shared" si="15"/>
        <v>3452</v>
      </c>
      <c r="G37" s="321">
        <v>0</v>
      </c>
      <c r="H37" s="382">
        <f>VLOOKUP($A37,'Salary Projections 2026'!$A:$D,2,FALSE)</f>
        <v>748</v>
      </c>
      <c r="I37" s="385">
        <f t="shared" si="16"/>
        <v>-748</v>
      </c>
      <c r="J37" s="321">
        <v>0</v>
      </c>
      <c r="K37" s="382">
        <f>VLOOKUP($A37,'Salary Projections 2026'!$A:$D,2,FALSE)</f>
        <v>748</v>
      </c>
      <c r="L37" s="385">
        <f t="shared" si="17"/>
        <v>-748</v>
      </c>
      <c r="M37" s="321">
        <f>16800/4</f>
        <v>4200</v>
      </c>
      <c r="N37" s="382">
        <f>VLOOKUP($A37,'Salary Projections 2026'!$A:$D,3,FALSE)</f>
        <v>748</v>
      </c>
      <c r="O37" s="385">
        <f t="shared" si="18"/>
        <v>3452</v>
      </c>
      <c r="P37" s="321">
        <v>0</v>
      </c>
      <c r="Q37" s="382">
        <f>VLOOKUP($A37,'Salary Projections 2026'!$A:$D,3,FALSE)</f>
        <v>748</v>
      </c>
      <c r="R37" s="385">
        <f t="shared" si="19"/>
        <v>-748</v>
      </c>
      <c r="S37" s="321">
        <v>0</v>
      </c>
      <c r="T37" s="382">
        <f>VLOOKUP($A37,'Salary Projections 2026'!$A:$D,3,FALSE)</f>
        <v>748</v>
      </c>
      <c r="U37" s="385">
        <f t="shared" si="20"/>
        <v>-748</v>
      </c>
      <c r="V37" s="321">
        <f>16800/4</f>
        <v>4200</v>
      </c>
      <c r="W37" s="382">
        <f>VLOOKUP($A37,'Salary Projections 2026'!$A:$D,3,FALSE)</f>
        <v>748</v>
      </c>
      <c r="X37" s="385">
        <f t="shared" si="21"/>
        <v>3452</v>
      </c>
      <c r="Y37" s="321">
        <v>0</v>
      </c>
      <c r="Z37" s="382">
        <f>VLOOKUP($A37,'Salary Projections 2026'!$A:$D,3,FALSE)</f>
        <v>748</v>
      </c>
      <c r="AA37" s="385">
        <f t="shared" si="22"/>
        <v>-748</v>
      </c>
      <c r="AB37" s="321">
        <v>0</v>
      </c>
      <c r="AC37" s="382">
        <f>VLOOKUP($A37,'Salary Projections 2026'!$A:$D,3,FALSE)</f>
        <v>748</v>
      </c>
      <c r="AD37" s="385">
        <f t="shared" si="23"/>
        <v>-748</v>
      </c>
      <c r="AE37" s="321">
        <f>16800/4</f>
        <v>4200</v>
      </c>
      <c r="AF37" s="382">
        <f>VLOOKUP($A37,'Salary Projections 2026'!$A:$D,4,FALSE)</f>
        <v>748</v>
      </c>
      <c r="AG37" s="385">
        <f t="shared" si="24"/>
        <v>3452</v>
      </c>
      <c r="AH37" s="321">
        <v>0</v>
      </c>
      <c r="AI37" s="382">
        <f>VLOOKUP($A37,'Salary Projections 2026'!$A:$D,4,FALSE)</f>
        <v>748</v>
      </c>
      <c r="AJ37" s="385">
        <f t="shared" si="25"/>
        <v>-748</v>
      </c>
      <c r="AK37" s="321">
        <v>0</v>
      </c>
      <c r="AL37" s="382">
        <f>VLOOKUP($A37,'Salary Projections 2026'!$A:$D,4,FALSE)</f>
        <v>748</v>
      </c>
      <c r="AM37" s="385">
        <f t="shared" si="26"/>
        <v>-748</v>
      </c>
      <c r="AN37" s="322" cm="1">
        <f t="array" ref="AN37">SUMPRODUCT((D$1:AK$1&lt;&gt;"Margin")*(D$1:AK$1&lt;&gt;"Salary_$600")*D37:AK37)</f>
        <v>16800</v>
      </c>
      <c r="AO37" s="322" cm="1">
        <f t="array" ref="AO37">SUMPRODUCT((D$1:AM$1="Margin")*D37:AM37)</f>
        <v>7824</v>
      </c>
      <c r="AP37" s="415" t="s">
        <v>35</v>
      </c>
      <c r="AQ37" s="242" t="s">
        <v>31</v>
      </c>
      <c r="AR37" s="525" t="s">
        <v>32</v>
      </c>
      <c r="AS37" s="525" t="s">
        <v>84</v>
      </c>
      <c r="AU37" s="535">
        <v>829892</v>
      </c>
      <c r="AV37" s="535">
        <v>911397</v>
      </c>
      <c r="AW37" s="535">
        <v>216343</v>
      </c>
    </row>
    <row r="38" spans="1:70" ht="13.5" customHeight="1">
      <c r="A38" s="235" t="s">
        <v>143</v>
      </c>
      <c r="B38" s="235" t="s">
        <v>94</v>
      </c>
      <c r="C38" s="235" t="s">
        <v>95</v>
      </c>
      <c r="D38" s="321">
        <v>5040</v>
      </c>
      <c r="E38" s="382">
        <f>VLOOKUP($A38,'Salary Projections 2026'!$A:$D,2,FALSE)</f>
        <v>4802</v>
      </c>
      <c r="F38" s="385">
        <f t="shared" si="15"/>
        <v>238</v>
      </c>
      <c r="G38" s="321">
        <v>5600</v>
      </c>
      <c r="H38" s="382">
        <f>VLOOKUP($A38,'Salary Projections 2026'!$A:$D,2,FALSE)</f>
        <v>4802</v>
      </c>
      <c r="I38" s="385">
        <f t="shared" si="16"/>
        <v>798</v>
      </c>
      <c r="J38" s="321">
        <v>5880</v>
      </c>
      <c r="K38" s="382">
        <f>VLOOKUP($A38,'Salary Projections 2026'!$A:$D,2,FALSE)</f>
        <v>4802</v>
      </c>
      <c r="L38" s="385">
        <f t="shared" si="17"/>
        <v>1078</v>
      </c>
      <c r="M38" s="321">
        <f>1*35*'Working Days'!$C$5</f>
        <v>6160</v>
      </c>
      <c r="N38" s="382">
        <f>VLOOKUP($A38,'Salary Projections 2026'!$A:$D,3,FALSE)</f>
        <v>4802</v>
      </c>
      <c r="O38" s="385">
        <f t="shared" si="18"/>
        <v>1358</v>
      </c>
      <c r="P38" s="321">
        <v>5600</v>
      </c>
      <c r="Q38" s="382">
        <f>VLOOKUP($A38,'Salary Projections 2026'!$A:$D,3,FALSE)</f>
        <v>4802</v>
      </c>
      <c r="R38" s="385">
        <f t="shared" si="19"/>
        <v>798</v>
      </c>
      <c r="S38" s="321">
        <f>1*35*'Working Days'!$C$7</f>
        <v>5880</v>
      </c>
      <c r="T38" s="382">
        <f>VLOOKUP($A38,'Salary Projections 2026'!$A:$D,3,FALSE)</f>
        <v>4802</v>
      </c>
      <c r="U38" s="385">
        <f t="shared" si="20"/>
        <v>1078</v>
      </c>
      <c r="V38" s="321">
        <f>1*35*'Working Days'!$C$8</f>
        <v>6440</v>
      </c>
      <c r="W38" s="382">
        <f>VLOOKUP($A38,'Salary Projections 2026'!$A:$D,3,FALSE)</f>
        <v>4802</v>
      </c>
      <c r="X38" s="385">
        <f t="shared" si="21"/>
        <v>1638</v>
      </c>
      <c r="Y38" s="321">
        <f>1*35*'Working Days'!$C$9</f>
        <v>5600</v>
      </c>
      <c r="Z38" s="382">
        <f>VLOOKUP($A38,'Salary Projections 2026'!$A:$D,3,FALSE)</f>
        <v>4802</v>
      </c>
      <c r="AA38" s="385">
        <f t="shared" si="22"/>
        <v>798</v>
      </c>
      <c r="AB38" s="321">
        <f>1*35*'Working Days'!$C$10</f>
        <v>6160</v>
      </c>
      <c r="AC38" s="382">
        <f>VLOOKUP($A38,'Salary Projections 2026'!$A:$D,3,FALSE)</f>
        <v>4802</v>
      </c>
      <c r="AD38" s="385">
        <f t="shared" si="23"/>
        <v>1358</v>
      </c>
      <c r="AE38" s="321">
        <f>1*35*'Working Days'!$C$11</f>
        <v>5600</v>
      </c>
      <c r="AF38" s="382">
        <f>VLOOKUP($A38,'Salary Projections 2026'!$A:$D,4,FALSE)</f>
        <v>4802</v>
      </c>
      <c r="AG38" s="385">
        <f t="shared" si="24"/>
        <v>798</v>
      </c>
      <c r="AH38" s="321">
        <f>1*35*'Working Days'!$C$12</f>
        <v>5320</v>
      </c>
      <c r="AI38" s="382">
        <f>VLOOKUP($A38,'Salary Projections 2026'!$A:$D,4,FALSE)</f>
        <v>4802</v>
      </c>
      <c r="AJ38" s="385">
        <f t="shared" si="25"/>
        <v>518</v>
      </c>
      <c r="AK38" s="321">
        <f>1*35*'Working Days'!$C$13</f>
        <v>4760</v>
      </c>
      <c r="AL38" s="382">
        <f>VLOOKUP($A38,'Salary Projections 2026'!$A:$D,4,FALSE)</f>
        <v>4802</v>
      </c>
      <c r="AM38" s="385">
        <f t="shared" si="26"/>
        <v>-42</v>
      </c>
      <c r="AN38" s="322" cm="1">
        <f t="array" ref="AN38">SUMPRODUCT((D$1:AK$1&lt;&gt;"Margin")*(D$1:AK$1&lt;&gt;"Salary_$600")*D38:AK38)</f>
        <v>68040</v>
      </c>
      <c r="AO38" s="322" cm="1">
        <f t="array" ref="AO38">SUMPRODUCT((D$1:AM$1="Margin")*D38:AM38)</f>
        <v>10416</v>
      </c>
      <c r="AP38" s="415" t="s">
        <v>35</v>
      </c>
      <c r="AQ38" s="242" t="s">
        <v>31</v>
      </c>
      <c r="AR38" s="525" t="s">
        <v>32</v>
      </c>
      <c r="AS38" s="525" t="s">
        <v>84</v>
      </c>
      <c r="AU38" s="534"/>
      <c r="AV38" s="534"/>
      <c r="AW38" s="534"/>
    </row>
    <row r="39" spans="1:70" ht="13.5" customHeight="1">
      <c r="A39" s="308" t="s">
        <v>144</v>
      </c>
      <c r="B39" s="235" t="s">
        <v>94</v>
      </c>
      <c r="C39" s="235" t="s">
        <v>95</v>
      </c>
      <c r="D39" s="321">
        <v>11200</v>
      </c>
      <c r="E39" s="382">
        <f>VLOOKUP($A39,'Salary Projections 2026'!$A:$D,2,FALSE)</f>
        <v>6597</v>
      </c>
      <c r="F39" s="385">
        <f t="shared" si="15"/>
        <v>4603</v>
      </c>
      <c r="G39" s="321">
        <v>10080</v>
      </c>
      <c r="H39" s="382">
        <f>VLOOKUP($A39,'Salary Projections 2026'!$A:$D,2,FALSE)</f>
        <v>6597</v>
      </c>
      <c r="I39" s="385">
        <f t="shared" si="16"/>
        <v>3483</v>
      </c>
      <c r="J39" s="321">
        <v>11340</v>
      </c>
      <c r="K39" s="382">
        <f>VLOOKUP($A39,'Salary Projections 2026'!$A:$D,2,FALSE)</f>
        <v>6597</v>
      </c>
      <c r="L39" s="385">
        <f t="shared" si="17"/>
        <v>4743</v>
      </c>
      <c r="M39" s="321">
        <v>11480</v>
      </c>
      <c r="N39" s="382">
        <f>VLOOKUP($A39,'Salary Projections 2026'!$A:$D,3,FALSE)+2265</f>
        <v>6598</v>
      </c>
      <c r="O39" s="385">
        <f t="shared" si="18"/>
        <v>4882</v>
      </c>
      <c r="P39" s="321">
        <v>7280</v>
      </c>
      <c r="Q39" s="382">
        <f>VLOOKUP($A39,'Salary Projections 2026'!$A:$D,3,FALSE)</f>
        <v>4333</v>
      </c>
      <c r="R39" s="385">
        <f t="shared" si="19"/>
        <v>2947</v>
      </c>
      <c r="S39" s="321">
        <v>5880</v>
      </c>
      <c r="T39" s="382">
        <f>VLOOKUP($A39,'Salary Projections 2026'!$A:$D,3,FALSE)</f>
        <v>4333</v>
      </c>
      <c r="U39" s="385">
        <f t="shared" si="20"/>
        <v>1547</v>
      </c>
      <c r="V39" s="321">
        <v>5880</v>
      </c>
      <c r="W39" s="382">
        <f>VLOOKUP($A39,'Salary Projections 2026'!$A:$D,3,FALSE)</f>
        <v>4333</v>
      </c>
      <c r="X39" s="385">
        <f t="shared" si="21"/>
        <v>1547</v>
      </c>
      <c r="Y39" s="321">
        <v>5880</v>
      </c>
      <c r="Z39" s="382">
        <f>VLOOKUP($A39,'Salary Projections 2026'!$A:$D,3,FALSE)</f>
        <v>4333</v>
      </c>
      <c r="AA39" s="385">
        <f t="shared" si="22"/>
        <v>1547</v>
      </c>
      <c r="AB39" s="321">
        <v>5880</v>
      </c>
      <c r="AC39" s="382">
        <f>VLOOKUP($A39,'Salary Projections 2026'!$A:$D,3,FALSE)</f>
        <v>4333</v>
      </c>
      <c r="AD39" s="385">
        <f t="shared" si="23"/>
        <v>1547</v>
      </c>
      <c r="AE39" s="321">
        <v>5880</v>
      </c>
      <c r="AF39" s="382">
        <f>VLOOKUP($A39,'Salary Projections 2026'!$A:$D,4,FALSE)</f>
        <v>4333</v>
      </c>
      <c r="AG39" s="385">
        <f t="shared" si="24"/>
        <v>1547</v>
      </c>
      <c r="AH39" s="321">
        <v>5880</v>
      </c>
      <c r="AI39" s="382">
        <f>VLOOKUP($A39,'Salary Projections 2026'!$A:$D,4,FALSE)</f>
        <v>4333</v>
      </c>
      <c r="AJ39" s="385">
        <f t="shared" si="25"/>
        <v>1547</v>
      </c>
      <c r="AK39" s="321">
        <v>5880</v>
      </c>
      <c r="AL39" s="382">
        <f>VLOOKUP($A39,'Salary Projections 2026'!$A:$D,4,FALSE)</f>
        <v>4333</v>
      </c>
      <c r="AM39" s="385">
        <f t="shared" si="26"/>
        <v>1547</v>
      </c>
      <c r="AN39" s="322" cm="1">
        <f t="array" ref="AN39">SUMPRODUCT((D$1:AK$1&lt;&gt;"Margin")*(D$1:AK$1&lt;&gt;"Salary_$600")*D39:AK39)</f>
        <v>92540</v>
      </c>
      <c r="AO39" s="322" cm="1">
        <f t="array" ref="AO39">SUMPRODUCT((D$1:AM$1="Margin")*D39:AM39)</f>
        <v>31487</v>
      </c>
      <c r="AP39" s="415" t="s">
        <v>145</v>
      </c>
      <c r="AQ39" s="242" t="s">
        <v>31</v>
      </c>
      <c r="AR39" s="525" t="s">
        <v>32</v>
      </c>
      <c r="AS39" s="525" t="s">
        <v>84</v>
      </c>
      <c r="AU39" s="534"/>
      <c r="AV39" s="534"/>
      <c r="AW39" s="534"/>
    </row>
    <row r="40" spans="1:70" ht="13.5" customHeight="1">
      <c r="A40" s="235" t="s">
        <v>146</v>
      </c>
      <c r="B40" s="235" t="s">
        <v>94</v>
      </c>
      <c r="C40" s="235" t="s">
        <v>95</v>
      </c>
      <c r="D40" s="321">
        <v>9240</v>
      </c>
      <c r="E40" s="382">
        <f>VLOOKUP($A40,'Salary Projections 2026'!$A:$D,2,FALSE)</f>
        <v>7591</v>
      </c>
      <c r="F40" s="385">
        <f t="shared" si="15"/>
        <v>1649</v>
      </c>
      <c r="G40" s="321">
        <v>11200</v>
      </c>
      <c r="H40" s="382">
        <f>VLOOKUP($A40,'Salary Projections 2026'!$A:$D,2,FALSE)</f>
        <v>7591</v>
      </c>
      <c r="I40" s="385">
        <f t="shared" si="16"/>
        <v>3609</v>
      </c>
      <c r="J40" s="321">
        <v>12320</v>
      </c>
      <c r="K40" s="382">
        <f>VLOOKUP($A40,'Salary Projections 2026'!$A:$D,2,FALSE)</f>
        <v>7591</v>
      </c>
      <c r="L40" s="385">
        <f t="shared" si="17"/>
        <v>4729</v>
      </c>
      <c r="M40" s="321">
        <v>10640</v>
      </c>
      <c r="N40" s="382">
        <f>VLOOKUP($A40,'Salary Projections 2026'!$A:$D,3,FALSE)</f>
        <v>7591</v>
      </c>
      <c r="O40" s="385">
        <f t="shared" si="18"/>
        <v>3049</v>
      </c>
      <c r="P40" s="321">
        <v>10080</v>
      </c>
      <c r="Q40" s="382">
        <f>VLOOKUP($A40,'Salary Projections 2026'!$A:$D,3,FALSE)</f>
        <v>7591</v>
      </c>
      <c r="R40" s="385">
        <f t="shared" si="19"/>
        <v>2489</v>
      </c>
      <c r="S40" s="321">
        <f>5880*2</f>
        <v>11760</v>
      </c>
      <c r="T40" s="382">
        <f>VLOOKUP($A40,'Salary Projections 2026'!$A:$D,3,FALSE)</f>
        <v>7591</v>
      </c>
      <c r="U40" s="385">
        <f t="shared" si="20"/>
        <v>4169</v>
      </c>
      <c r="V40" s="321">
        <f>5880*2</f>
        <v>11760</v>
      </c>
      <c r="W40" s="382">
        <f>VLOOKUP($A40,'Salary Projections 2026'!$A:$D,3,FALSE)</f>
        <v>7591</v>
      </c>
      <c r="X40" s="385">
        <f t="shared" si="21"/>
        <v>4169</v>
      </c>
      <c r="Y40" s="321">
        <f>5880*2</f>
        <v>11760</v>
      </c>
      <c r="Z40" s="382">
        <f>VLOOKUP($A40,'Salary Projections 2026'!$A:$D,3,FALSE)</f>
        <v>7591</v>
      </c>
      <c r="AA40" s="385">
        <f t="shared" si="22"/>
        <v>4169</v>
      </c>
      <c r="AB40" s="321">
        <f>5880*2</f>
        <v>11760</v>
      </c>
      <c r="AC40" s="382">
        <f>VLOOKUP($A40,'Salary Projections 2026'!$A:$D,3,FALSE)</f>
        <v>7591</v>
      </c>
      <c r="AD40" s="385">
        <f t="shared" si="23"/>
        <v>4169</v>
      </c>
      <c r="AE40" s="321">
        <f>5880*2</f>
        <v>11760</v>
      </c>
      <c r="AF40" s="382">
        <f>VLOOKUP($A40,'Salary Projections 2026'!$A:$D,4,FALSE)</f>
        <v>7591</v>
      </c>
      <c r="AG40" s="385">
        <f t="shared" si="24"/>
        <v>4169</v>
      </c>
      <c r="AH40" s="321">
        <f>5880*2</f>
        <v>11760</v>
      </c>
      <c r="AI40" s="382">
        <f>VLOOKUP($A40,'Salary Projections 2026'!$A:$D,4,FALSE)</f>
        <v>7591</v>
      </c>
      <c r="AJ40" s="385">
        <f t="shared" si="25"/>
        <v>4169</v>
      </c>
      <c r="AK40" s="321">
        <f>5880*2</f>
        <v>11760</v>
      </c>
      <c r="AL40" s="382">
        <f>VLOOKUP($A40,'Salary Projections 2026'!$A:$D,4,FALSE)</f>
        <v>7591</v>
      </c>
      <c r="AM40" s="385">
        <f t="shared" si="26"/>
        <v>4169</v>
      </c>
      <c r="AN40" s="322" cm="1">
        <f t="array" ref="AN40">SUMPRODUCT((D$1:AK$1&lt;&gt;"Margin")*(D$1:AK$1&lt;&gt;"Salary_$600")*D40:AK40)</f>
        <v>135800</v>
      </c>
      <c r="AO40" s="322" cm="1">
        <f t="array" ref="AO40">SUMPRODUCT((D$1:AM$1="Margin")*D40:AM40)</f>
        <v>44708</v>
      </c>
      <c r="AP40" s="415" t="s">
        <v>145</v>
      </c>
      <c r="AQ40" s="242" t="s">
        <v>31</v>
      </c>
      <c r="AR40" s="525" t="s">
        <v>32</v>
      </c>
      <c r="AS40" s="525" t="s">
        <v>84</v>
      </c>
      <c r="AU40" s="534"/>
      <c r="AV40" s="534"/>
      <c r="AW40" s="534"/>
    </row>
    <row r="41" spans="1:70" ht="13.5" customHeight="1">
      <c r="A41" s="235" t="s">
        <v>147</v>
      </c>
      <c r="B41" s="235" t="s">
        <v>94</v>
      </c>
      <c r="C41" s="235" t="s">
        <v>95</v>
      </c>
      <c r="D41" s="321">
        <v>1260</v>
      </c>
      <c r="E41" s="382">
        <f>VLOOKUP($A41,'Salary Projections 2026'!$A:$D,2,FALSE)</f>
        <v>2245</v>
      </c>
      <c r="F41" s="385">
        <f t="shared" si="15"/>
        <v>-985</v>
      </c>
      <c r="G41" s="321">
        <v>5600</v>
      </c>
      <c r="H41" s="382">
        <f>VLOOKUP($A41,'Salary Projections 2026'!$A:$D,2,FALSE)</f>
        <v>2245</v>
      </c>
      <c r="I41" s="385">
        <f t="shared" si="16"/>
        <v>3355</v>
      </c>
      <c r="J41" s="321">
        <v>5880</v>
      </c>
      <c r="K41" s="382">
        <f>VLOOKUP($A41,'Salary Projections 2026'!$A:$D,2,FALSE)</f>
        <v>2245</v>
      </c>
      <c r="L41" s="385">
        <f t="shared" si="17"/>
        <v>3635</v>
      </c>
      <c r="M41" s="321">
        <v>1680</v>
      </c>
      <c r="N41" s="382">
        <f>VLOOKUP($A41,'Salary Projections 2026'!$A:$D,3,FALSE)</f>
        <v>2245</v>
      </c>
      <c r="O41" s="385">
        <f t="shared" si="18"/>
        <v>-565</v>
      </c>
      <c r="P41" s="321">
        <v>5600</v>
      </c>
      <c r="Q41" s="382">
        <f>VLOOKUP($A41,'Salary Projections 2026'!$A:$D,3,FALSE)</f>
        <v>2245</v>
      </c>
      <c r="R41" s="385">
        <f t="shared" si="19"/>
        <v>3355</v>
      </c>
      <c r="S41" s="321">
        <f>35*'Working Days 2026'!C7</f>
        <v>6160</v>
      </c>
      <c r="T41" s="382">
        <f>VLOOKUP($A41,'Salary Projections 2026'!$A:$D,3,FALSE)</f>
        <v>2245</v>
      </c>
      <c r="U41" s="385">
        <f t="shared" si="20"/>
        <v>3915</v>
      </c>
      <c r="V41" s="321">
        <f>35*'Working Days 2026'!C8-V37</f>
        <v>2240</v>
      </c>
      <c r="W41" s="382">
        <f>VLOOKUP($A41,'Salary Projections 2026'!$A:$D,3,FALSE)</f>
        <v>2245</v>
      </c>
      <c r="X41" s="385">
        <f t="shared" si="21"/>
        <v>-5</v>
      </c>
      <c r="Y41" s="321">
        <f>35*'Working Days 2026'!C9</f>
        <v>5600</v>
      </c>
      <c r="Z41" s="382">
        <f>VLOOKUP($A41,'Salary Projections 2026'!$A:$D,3,FALSE)</f>
        <v>2245</v>
      </c>
      <c r="AA41" s="385">
        <f t="shared" si="22"/>
        <v>3355</v>
      </c>
      <c r="AB41" s="321">
        <f>35*'Working Days 2026'!C10</f>
        <v>6160</v>
      </c>
      <c r="AC41" s="382">
        <f>VLOOKUP($A41,'Salary Projections 2026'!$A:$D,3,FALSE)</f>
        <v>2245</v>
      </c>
      <c r="AD41" s="385">
        <f t="shared" si="23"/>
        <v>3915</v>
      </c>
      <c r="AE41" s="321">
        <f>35*'Working Days 2026'!C11-AE37</f>
        <v>1680</v>
      </c>
      <c r="AF41" s="382">
        <f>VLOOKUP($A41,'Salary Projections 2026'!$A:$D,4,FALSE)</f>
        <v>2245</v>
      </c>
      <c r="AG41" s="385">
        <f t="shared" si="24"/>
        <v>-565</v>
      </c>
      <c r="AH41" s="321">
        <f>35*'Working Days 2026'!C12</f>
        <v>5040</v>
      </c>
      <c r="AI41" s="382">
        <f>VLOOKUP($A41,'Salary Projections 2026'!$A:$D,4,FALSE)</f>
        <v>2245</v>
      </c>
      <c r="AJ41" s="385">
        <f t="shared" si="25"/>
        <v>2795</v>
      </c>
      <c r="AK41" s="321">
        <f>35*'Working Days 2026'!C13</f>
        <v>3920</v>
      </c>
      <c r="AL41" s="382">
        <f>VLOOKUP($A41,'Salary Projections 2026'!$A:$D,4,FALSE)</f>
        <v>2245</v>
      </c>
      <c r="AM41" s="385">
        <f t="shared" si="26"/>
        <v>1675</v>
      </c>
      <c r="AN41" s="322" cm="1">
        <f t="array" ref="AN41">SUMPRODUCT((D$1:AK$1&lt;&gt;"Margin")*(D$1:AK$1&lt;&gt;"Salary_$600")*D41:AK41)</f>
        <v>50820</v>
      </c>
      <c r="AO41" s="322" cm="1">
        <f t="array" ref="AO41">SUMPRODUCT((D$1:AM$1="Margin")*D41:AM41)</f>
        <v>23880</v>
      </c>
      <c r="AP41" s="415" t="s">
        <v>39</v>
      </c>
      <c r="AQ41" s="242" t="s">
        <v>31</v>
      </c>
      <c r="AR41" s="525" t="s">
        <v>32</v>
      </c>
      <c r="AS41" s="525" t="s">
        <v>84</v>
      </c>
      <c r="AU41" s="534"/>
      <c r="AV41" s="534"/>
      <c r="AW41" s="534"/>
    </row>
    <row r="42" spans="1:70" s="391" customFormat="1" ht="13.5" customHeight="1">
      <c r="A42" s="308" t="s">
        <v>148</v>
      </c>
      <c r="B42" s="235" t="s">
        <v>94</v>
      </c>
      <c r="C42" s="235" t="s">
        <v>95</v>
      </c>
      <c r="D42" s="321">
        <v>14166</v>
      </c>
      <c r="E42" s="382">
        <f>VLOOKUP($A42,'Salary Projections 2026'!$A:$D,2,FALSE)</f>
        <v>4696</v>
      </c>
      <c r="F42" s="385">
        <f t="shared" si="15"/>
        <v>9470</v>
      </c>
      <c r="G42" s="321">
        <v>0</v>
      </c>
      <c r="H42" s="382">
        <v>0</v>
      </c>
      <c r="I42" s="385">
        <v>0</v>
      </c>
      <c r="J42" s="321">
        <v>0</v>
      </c>
      <c r="K42" s="382">
        <v>0</v>
      </c>
      <c r="L42" s="385">
        <v>0</v>
      </c>
      <c r="M42" s="321">
        <v>0</v>
      </c>
      <c r="N42" s="382">
        <v>0</v>
      </c>
      <c r="O42" s="385">
        <v>0</v>
      </c>
      <c r="P42" s="321">
        <v>0</v>
      </c>
      <c r="Q42" s="382">
        <v>0</v>
      </c>
      <c r="R42" s="385">
        <v>0</v>
      </c>
      <c r="S42" s="321">
        <v>0</v>
      </c>
      <c r="T42" s="382">
        <v>0</v>
      </c>
      <c r="U42" s="385">
        <v>0</v>
      </c>
      <c r="V42" s="321">
        <v>0</v>
      </c>
      <c r="W42" s="382">
        <v>0</v>
      </c>
      <c r="X42" s="385">
        <v>0</v>
      </c>
      <c r="Y42" s="321">
        <v>0</v>
      </c>
      <c r="Z42" s="382">
        <v>0</v>
      </c>
      <c r="AA42" s="385">
        <v>0</v>
      </c>
      <c r="AB42" s="321">
        <v>0</v>
      </c>
      <c r="AC42" s="382">
        <v>0</v>
      </c>
      <c r="AD42" s="385">
        <v>0</v>
      </c>
      <c r="AE42" s="321">
        <v>0</v>
      </c>
      <c r="AF42" s="382">
        <v>0</v>
      </c>
      <c r="AG42" s="385">
        <v>0</v>
      </c>
      <c r="AH42" s="321">
        <v>0</v>
      </c>
      <c r="AI42" s="382">
        <v>0</v>
      </c>
      <c r="AJ42" s="385">
        <v>0</v>
      </c>
      <c r="AK42" s="321">
        <v>0</v>
      </c>
      <c r="AL42" s="382">
        <v>0</v>
      </c>
      <c r="AM42" s="385">
        <v>0</v>
      </c>
      <c r="AN42" s="322" cm="1">
        <f t="array" ref="AN42">SUMPRODUCT((D$1:AK$1&lt;&gt;"Margin")*(D$1:AK$1&lt;&gt;"Salary_$600")*D42:AK42)</f>
        <v>14166</v>
      </c>
      <c r="AO42" s="322" cm="1">
        <f t="array" ref="AO42">SUMPRODUCT((D$1:AM$1="Margin")*D42:AM42)</f>
        <v>9470</v>
      </c>
      <c r="AP42" s="415" t="s">
        <v>149</v>
      </c>
      <c r="AQ42" s="242" t="s">
        <v>99</v>
      </c>
      <c r="AR42" s="525" t="s">
        <v>32</v>
      </c>
      <c r="AS42" s="525" t="s">
        <v>84</v>
      </c>
      <c r="AT42"/>
      <c r="AU42" s="534"/>
      <c r="AV42" s="534"/>
      <c r="AW42" s="534"/>
      <c r="AX42"/>
      <c r="AY42"/>
      <c r="AZ42"/>
      <c r="BA42"/>
      <c r="BB42"/>
      <c r="BC42"/>
      <c r="BD42"/>
      <c r="BE42"/>
      <c r="BF42"/>
      <c r="BG42"/>
      <c r="BH42"/>
      <c r="BI42"/>
      <c r="BJ42"/>
      <c r="BK42"/>
      <c r="BL42"/>
      <c r="BM42"/>
      <c r="BN42"/>
      <c r="BO42"/>
      <c r="BP42"/>
      <c r="BQ42" s="157"/>
    </row>
    <row r="43" spans="1:70" s="391" customFormat="1" ht="13.5" customHeight="1">
      <c r="A43" s="235" t="s">
        <v>150</v>
      </c>
      <c r="B43" s="235" t="s">
        <v>94</v>
      </c>
      <c r="C43" s="235" t="s">
        <v>95</v>
      </c>
      <c r="D43" s="321">
        <v>10360</v>
      </c>
      <c r="E43" s="382">
        <f>VLOOKUP($A43,'Salary Projections 2026'!$A:$D,2,FALSE)</f>
        <v>5268</v>
      </c>
      <c r="F43" s="385">
        <f t="shared" si="15"/>
        <v>5092</v>
      </c>
      <c r="G43" s="321">
        <v>10360</v>
      </c>
      <c r="H43" s="382">
        <f>VLOOKUP($A43,'Salary Projections 2026'!$A:$D,2,FALSE)</f>
        <v>5268</v>
      </c>
      <c r="I43" s="385">
        <f t="shared" si="16"/>
        <v>5092</v>
      </c>
      <c r="J43" s="321">
        <v>11480</v>
      </c>
      <c r="K43" s="382">
        <f>VLOOKUP($A43,'Salary Projections 2026'!$A:$D,2,FALSE)</f>
        <v>5268</v>
      </c>
      <c r="L43" s="385">
        <f t="shared" si="17"/>
        <v>6212</v>
      </c>
      <c r="M43" s="321">
        <f>5880*2</f>
        <v>11760</v>
      </c>
      <c r="N43" s="382">
        <v>5268</v>
      </c>
      <c r="O43" s="385">
        <f t="shared" si="18"/>
        <v>6492</v>
      </c>
      <c r="P43" s="321">
        <v>5880</v>
      </c>
      <c r="Q43" s="382">
        <v>2500</v>
      </c>
      <c r="R43" s="385">
        <f t="shared" si="19"/>
        <v>3380</v>
      </c>
      <c r="S43" s="321">
        <v>0</v>
      </c>
      <c r="T43" s="382">
        <v>0</v>
      </c>
      <c r="U43" s="385">
        <v>0</v>
      </c>
      <c r="V43" s="321">
        <f>5880</f>
        <v>5880</v>
      </c>
      <c r="W43" s="382">
        <v>1800</v>
      </c>
      <c r="X43" s="385">
        <f t="shared" si="21"/>
        <v>4080</v>
      </c>
      <c r="Y43" s="321">
        <f>5880*2</f>
        <v>11760</v>
      </c>
      <c r="Z43" s="382">
        <f>VLOOKUP($A43,'Salary Projections 2026'!$A:$D,3,FALSE)</f>
        <v>3727</v>
      </c>
      <c r="AA43" s="385">
        <f t="shared" si="22"/>
        <v>8033</v>
      </c>
      <c r="AB43" s="321">
        <f>5880*2</f>
        <v>11760</v>
      </c>
      <c r="AC43" s="382">
        <f>VLOOKUP($A43,'Salary Projections 2026'!$A:$D,3,FALSE)</f>
        <v>3727</v>
      </c>
      <c r="AD43" s="385">
        <f t="shared" si="23"/>
        <v>8033</v>
      </c>
      <c r="AE43" s="321">
        <f>5880*2</f>
        <v>11760</v>
      </c>
      <c r="AF43" s="382">
        <f>VLOOKUP($A43,'Salary Projections 2026'!$A:$D,4,FALSE)</f>
        <v>3727</v>
      </c>
      <c r="AG43" s="385">
        <f t="shared" si="24"/>
        <v>8033</v>
      </c>
      <c r="AH43" s="321">
        <f>5880*2</f>
        <v>11760</v>
      </c>
      <c r="AI43" s="382">
        <f>VLOOKUP($A43,'Salary Projections 2026'!$A:$D,4,FALSE)</f>
        <v>3727</v>
      </c>
      <c r="AJ43" s="385">
        <f t="shared" si="25"/>
        <v>8033</v>
      </c>
      <c r="AK43" s="321">
        <f>5880*2</f>
        <v>11760</v>
      </c>
      <c r="AL43" s="382">
        <f>VLOOKUP($A43,'Salary Projections 2026'!$A:$D,4,FALSE)</f>
        <v>3727</v>
      </c>
      <c r="AM43" s="385">
        <f t="shared" si="26"/>
        <v>8033</v>
      </c>
      <c r="AN43" s="322" cm="1">
        <f t="array" ref="AN43">SUMPRODUCT((D$1:AK$1&lt;&gt;"Margin")*(D$1:AK$1&lt;&gt;"Salary_$600")*D43:AK43)</f>
        <v>114520</v>
      </c>
      <c r="AO43" s="322" cm="1">
        <f t="array" ref="AO43">SUMPRODUCT((D$1:AM$1="Margin")*D43:AM43)</f>
        <v>70513</v>
      </c>
      <c r="AP43" s="415" t="s">
        <v>39</v>
      </c>
      <c r="AQ43" s="242" t="s">
        <v>31</v>
      </c>
      <c r="AR43" s="525" t="s">
        <v>32</v>
      </c>
      <c r="AS43" s="525" t="s">
        <v>84</v>
      </c>
      <c r="AT43"/>
      <c r="AU43" s="534"/>
      <c r="AV43" s="534"/>
      <c r="AW43" s="534"/>
      <c r="AX43"/>
      <c r="AY43"/>
      <c r="AZ43"/>
      <c r="BA43"/>
      <c r="BB43"/>
      <c r="BC43"/>
      <c r="BD43"/>
      <c r="BE43"/>
      <c r="BF43"/>
      <c r="BG43"/>
      <c r="BH43"/>
      <c r="BI43"/>
      <c r="BJ43"/>
      <c r="BK43"/>
      <c r="BL43"/>
      <c r="BM43"/>
      <c r="BN43"/>
      <c r="BO43"/>
      <c r="BP43"/>
      <c r="BQ43" s="157"/>
    </row>
    <row r="44" spans="1:70" s="391" customFormat="1" ht="13.5" customHeight="1">
      <c r="A44" s="235" t="s">
        <v>151</v>
      </c>
      <c r="B44" s="235" t="s">
        <v>94</v>
      </c>
      <c r="C44" s="235" t="s">
        <v>101</v>
      </c>
      <c r="D44" s="321">
        <v>8505</v>
      </c>
      <c r="E44" s="382">
        <v>2247</v>
      </c>
      <c r="F44" s="385">
        <f t="shared" si="15"/>
        <v>6258</v>
      </c>
      <c r="G44" s="321">
        <v>6965</v>
      </c>
      <c r="H44" s="382">
        <v>2247</v>
      </c>
      <c r="I44" s="385">
        <f t="shared" si="16"/>
        <v>4718</v>
      </c>
      <c r="J44" s="321">
        <v>12740</v>
      </c>
      <c r="K44" s="382">
        <v>2247</v>
      </c>
      <c r="L44" s="385">
        <f t="shared" si="17"/>
        <v>10493</v>
      </c>
      <c r="M44" s="321">
        <v>105</v>
      </c>
      <c r="N44" s="382">
        <v>2247</v>
      </c>
      <c r="O44" s="385">
        <f t="shared" si="18"/>
        <v>-2142</v>
      </c>
      <c r="P44" s="321">
        <v>11445</v>
      </c>
      <c r="Q44" s="382">
        <v>2247</v>
      </c>
      <c r="R44" s="385">
        <f t="shared" si="19"/>
        <v>9198</v>
      </c>
      <c r="S44" s="321">
        <f>67200/12</f>
        <v>5600</v>
      </c>
      <c r="T44" s="382">
        <v>2247</v>
      </c>
      <c r="U44" s="385">
        <f t="shared" si="20"/>
        <v>3353</v>
      </c>
      <c r="V44" s="321">
        <f>67200/12</f>
        <v>5600</v>
      </c>
      <c r="W44" s="382">
        <v>2247</v>
      </c>
      <c r="X44" s="385">
        <f t="shared" si="21"/>
        <v>3353</v>
      </c>
      <c r="Y44" s="321">
        <f>67200/12</f>
        <v>5600</v>
      </c>
      <c r="Z44" s="382">
        <v>2247</v>
      </c>
      <c r="AA44" s="385">
        <f t="shared" si="22"/>
        <v>3353</v>
      </c>
      <c r="AB44" s="321">
        <f>67200/12</f>
        <v>5600</v>
      </c>
      <c r="AC44" s="382">
        <v>2247</v>
      </c>
      <c r="AD44" s="385">
        <f t="shared" si="23"/>
        <v>3353</v>
      </c>
      <c r="AE44" s="321">
        <f>67200/12</f>
        <v>5600</v>
      </c>
      <c r="AF44" s="382">
        <v>2247</v>
      </c>
      <c r="AG44" s="385">
        <f t="shared" si="24"/>
        <v>3353</v>
      </c>
      <c r="AH44" s="321">
        <f>67200/12</f>
        <v>5600</v>
      </c>
      <c r="AI44" s="382">
        <v>2247</v>
      </c>
      <c r="AJ44" s="385">
        <f t="shared" si="25"/>
        <v>3353</v>
      </c>
      <c r="AK44" s="321">
        <f>67200/12</f>
        <v>5600</v>
      </c>
      <c r="AL44" s="382">
        <v>2247</v>
      </c>
      <c r="AM44" s="385">
        <f t="shared" si="26"/>
        <v>3353</v>
      </c>
      <c r="AN44" s="322" cm="1">
        <f t="array" ref="AN44">SUMPRODUCT((D$1:AK$1&lt;&gt;"Margin")*(D$1:AK$1&lt;&gt;"Salary_$600")*D44:AK44)</f>
        <v>78960</v>
      </c>
      <c r="AO44" s="322" cm="1">
        <f t="array" ref="AO44">SUMPRODUCT((D$1:AM$1="Margin")*D44:AM44)</f>
        <v>51996</v>
      </c>
      <c r="AP44" s="415" t="s">
        <v>37</v>
      </c>
      <c r="AQ44" s="242" t="s">
        <v>31</v>
      </c>
      <c r="AR44" s="525" t="s">
        <v>32</v>
      </c>
      <c r="AS44" s="525" t="s">
        <v>84</v>
      </c>
      <c r="AT44"/>
      <c r="AU44" s="534"/>
      <c r="AV44" s="534"/>
      <c r="AW44" s="534"/>
      <c r="AX44"/>
      <c r="AY44"/>
      <c r="AZ44"/>
      <c r="BA44"/>
      <c r="BB44"/>
      <c r="BC44"/>
      <c r="BD44"/>
      <c r="BE44"/>
      <c r="BF44"/>
      <c r="BG44"/>
      <c r="BH44"/>
      <c r="BI44"/>
      <c r="BJ44"/>
      <c r="BK44"/>
      <c r="BL44"/>
      <c r="BM44"/>
      <c r="BN44"/>
      <c r="BO44"/>
      <c r="BP44"/>
      <c r="BQ44" s="157"/>
      <c r="BR44" s="235"/>
    </row>
    <row r="45" spans="1:70" s="391" customFormat="1" ht="13.5" customHeight="1">
      <c r="A45" s="235" t="s">
        <v>152</v>
      </c>
      <c r="B45" s="235" t="s">
        <v>94</v>
      </c>
      <c r="C45" s="235" t="s">
        <v>101</v>
      </c>
      <c r="D45" s="321">
        <v>3220</v>
      </c>
      <c r="E45" s="382">
        <v>3240</v>
      </c>
      <c r="F45" s="385">
        <f t="shared" si="15"/>
        <v>-20</v>
      </c>
      <c r="G45" s="321">
        <v>6720</v>
      </c>
      <c r="H45" s="382">
        <v>3240</v>
      </c>
      <c r="I45" s="385">
        <f t="shared" si="16"/>
        <v>3480</v>
      </c>
      <c r="J45" s="321">
        <v>875</v>
      </c>
      <c r="K45" s="382">
        <v>3240</v>
      </c>
      <c r="L45" s="385">
        <f t="shared" si="17"/>
        <v>-2365</v>
      </c>
      <c r="M45" s="321">
        <v>12145</v>
      </c>
      <c r="N45" s="382">
        <v>3240</v>
      </c>
      <c r="O45" s="385">
        <f t="shared" si="18"/>
        <v>8905</v>
      </c>
      <c r="P45" s="321">
        <v>0</v>
      </c>
      <c r="Q45" s="382">
        <v>3240</v>
      </c>
      <c r="R45" s="385">
        <f t="shared" si="19"/>
        <v>-3240</v>
      </c>
      <c r="S45" s="321"/>
      <c r="T45" s="382">
        <v>3240</v>
      </c>
      <c r="U45" s="385">
        <f t="shared" si="20"/>
        <v>-3240</v>
      </c>
      <c r="V45" s="321">
        <f>67200/12</f>
        <v>5600</v>
      </c>
      <c r="W45" s="382">
        <v>3240</v>
      </c>
      <c r="X45" s="385">
        <f t="shared" si="21"/>
        <v>2360</v>
      </c>
      <c r="Y45" s="321">
        <f>67200/12</f>
        <v>5600</v>
      </c>
      <c r="Z45" s="382">
        <v>3240</v>
      </c>
      <c r="AA45" s="385">
        <f t="shared" si="22"/>
        <v>2360</v>
      </c>
      <c r="AB45" s="321">
        <f>67200/12</f>
        <v>5600</v>
      </c>
      <c r="AC45" s="382">
        <v>3240</v>
      </c>
      <c r="AD45" s="385">
        <f t="shared" si="23"/>
        <v>2360</v>
      </c>
      <c r="AE45" s="321">
        <f>67200/12</f>
        <v>5600</v>
      </c>
      <c r="AF45" s="382">
        <v>3240</v>
      </c>
      <c r="AG45" s="385">
        <f t="shared" si="24"/>
        <v>2360</v>
      </c>
      <c r="AH45" s="321">
        <f>67200/12</f>
        <v>5600</v>
      </c>
      <c r="AI45" s="382">
        <v>3240</v>
      </c>
      <c r="AJ45" s="385">
        <f t="shared" si="25"/>
        <v>2360</v>
      </c>
      <c r="AK45" s="321">
        <f>67200/12</f>
        <v>5600</v>
      </c>
      <c r="AL45" s="382">
        <v>3240</v>
      </c>
      <c r="AM45" s="385">
        <f t="shared" si="26"/>
        <v>2360</v>
      </c>
      <c r="AN45" s="322" cm="1">
        <f t="array" ref="AN45">SUMPRODUCT((D$1:AK$1&lt;&gt;"Margin")*(D$1:AK$1&lt;&gt;"Salary_$600")*D45:AK45)</f>
        <v>56560</v>
      </c>
      <c r="AO45" s="322" cm="1">
        <f t="array" ref="AO45">SUMPRODUCT((D$1:AM$1="Margin")*D45:AM45)</f>
        <v>17680</v>
      </c>
      <c r="AP45" s="415" t="s">
        <v>37</v>
      </c>
      <c r="AQ45" s="242" t="s">
        <v>31</v>
      </c>
      <c r="AR45" s="525" t="s">
        <v>32</v>
      </c>
      <c r="AS45" s="525" t="s">
        <v>84</v>
      </c>
      <c r="AT45"/>
      <c r="AU45" s="534"/>
      <c r="AV45" s="534"/>
      <c r="AW45" s="534"/>
      <c r="AX45"/>
      <c r="AY45"/>
      <c r="AZ45"/>
      <c r="BA45"/>
      <c r="BB45"/>
      <c r="BC45"/>
      <c r="BD45"/>
      <c r="BE45"/>
      <c r="BF45"/>
      <c r="BG45"/>
      <c r="BH45"/>
      <c r="BI45"/>
      <c r="BJ45"/>
      <c r="BK45"/>
      <c r="BL45"/>
      <c r="BM45"/>
      <c r="BN45"/>
      <c r="BO45"/>
      <c r="BP45"/>
      <c r="BQ45" s="157"/>
      <c r="BR45" s="235"/>
    </row>
    <row r="46" spans="1:70" s="391" customFormat="1" ht="13.5" customHeight="1">
      <c r="A46" s="235" t="s">
        <v>153</v>
      </c>
      <c r="B46" s="235" t="s">
        <v>94</v>
      </c>
      <c r="C46" s="235" t="s">
        <v>101</v>
      </c>
      <c r="D46" s="321">
        <v>0</v>
      </c>
      <c r="E46" s="382">
        <v>0</v>
      </c>
      <c r="F46" s="385">
        <v>0</v>
      </c>
      <c r="G46" s="321">
        <v>0</v>
      </c>
      <c r="H46" s="382">
        <v>0</v>
      </c>
      <c r="I46" s="385">
        <v>0</v>
      </c>
      <c r="J46" s="321">
        <v>0</v>
      </c>
      <c r="K46" s="382">
        <v>0</v>
      </c>
      <c r="L46" s="385">
        <v>0</v>
      </c>
      <c r="M46" s="321">
        <v>7000</v>
      </c>
      <c r="N46" s="382">
        <v>0</v>
      </c>
      <c r="O46" s="385">
        <v>7000</v>
      </c>
      <c r="P46" s="321">
        <v>0</v>
      </c>
      <c r="Q46" s="382">
        <v>0</v>
      </c>
      <c r="R46" s="385">
        <v>0</v>
      </c>
      <c r="S46" s="321">
        <v>0</v>
      </c>
      <c r="T46" s="382">
        <v>0</v>
      </c>
      <c r="U46" s="385">
        <v>0</v>
      </c>
      <c r="V46" s="321">
        <v>0</v>
      </c>
      <c r="W46" s="382">
        <v>0</v>
      </c>
      <c r="X46" s="385">
        <v>0</v>
      </c>
      <c r="Y46" s="321">
        <v>0</v>
      </c>
      <c r="Z46" s="382">
        <v>0</v>
      </c>
      <c r="AA46" s="385">
        <v>0</v>
      </c>
      <c r="AB46" s="321">
        <v>0</v>
      </c>
      <c r="AC46" s="382">
        <v>0</v>
      </c>
      <c r="AD46" s="385">
        <v>0</v>
      </c>
      <c r="AE46" s="321">
        <v>0</v>
      </c>
      <c r="AF46" s="382">
        <v>0</v>
      </c>
      <c r="AG46" s="385">
        <v>0</v>
      </c>
      <c r="AH46" s="321">
        <v>0</v>
      </c>
      <c r="AI46" s="382">
        <v>0</v>
      </c>
      <c r="AJ46" s="385">
        <v>0</v>
      </c>
      <c r="AK46" s="321">
        <v>0</v>
      </c>
      <c r="AL46" s="382">
        <v>0</v>
      </c>
      <c r="AM46" s="385">
        <v>0</v>
      </c>
      <c r="AN46" s="322" cm="1">
        <f t="array" ref="AN46">SUMPRODUCT((D$1:AK$1&lt;&gt;"Margin")*(D$1:AK$1&lt;&gt;"Salary_$600")*D46:AK46)</f>
        <v>7000</v>
      </c>
      <c r="AO46" s="322" cm="1">
        <f t="array" ref="AO46">SUMPRODUCT((D$1:AM$1="Margin")*D46:AM46)</f>
        <v>7000</v>
      </c>
      <c r="AP46" s="415"/>
      <c r="AQ46" s="242"/>
      <c r="AR46" s="525" t="s">
        <v>32</v>
      </c>
      <c r="AS46" s="525" t="s">
        <v>84</v>
      </c>
      <c r="AT46"/>
      <c r="AU46" s="534"/>
      <c r="AV46" s="534"/>
      <c r="AW46" s="534"/>
      <c r="AX46"/>
      <c r="AY46"/>
      <c r="AZ46"/>
      <c r="BA46"/>
      <c r="BB46"/>
      <c r="BC46"/>
      <c r="BD46"/>
      <c r="BE46"/>
      <c r="BF46"/>
      <c r="BG46"/>
      <c r="BH46"/>
      <c r="BI46"/>
      <c r="BJ46"/>
      <c r="BK46"/>
      <c r="BL46"/>
      <c r="BM46"/>
      <c r="BN46"/>
      <c r="BO46"/>
      <c r="BP46"/>
      <c r="BQ46" s="157"/>
      <c r="BR46" s="235"/>
    </row>
    <row r="47" spans="1:70" s="391" customFormat="1" ht="13.5" customHeight="1">
      <c r="A47" s="235" t="s">
        <v>154</v>
      </c>
      <c r="B47" s="235" t="s">
        <v>94</v>
      </c>
      <c r="C47" s="235" t="s">
        <v>101</v>
      </c>
      <c r="D47" s="321">
        <v>0</v>
      </c>
      <c r="E47" s="382">
        <v>0</v>
      </c>
      <c r="F47" s="385">
        <v>0</v>
      </c>
      <c r="G47" s="321">
        <v>0</v>
      </c>
      <c r="H47" s="382">
        <v>0</v>
      </c>
      <c r="I47" s="385">
        <v>0</v>
      </c>
      <c r="J47" s="321">
        <v>0</v>
      </c>
      <c r="K47" s="382">
        <v>0</v>
      </c>
      <c r="L47" s="385">
        <v>0</v>
      </c>
      <c r="M47" s="321">
        <v>0</v>
      </c>
      <c r="N47" s="382">
        <v>2247</v>
      </c>
      <c r="O47" s="385">
        <f>M47-N47</f>
        <v>-2247</v>
      </c>
      <c r="P47" s="321">
        <v>0</v>
      </c>
      <c r="Q47" s="382">
        <v>2247</v>
      </c>
      <c r="R47" s="385">
        <f>P47-Q47</f>
        <v>-2247</v>
      </c>
      <c r="S47" s="321">
        <v>5600</v>
      </c>
      <c r="T47" s="382">
        <v>2247</v>
      </c>
      <c r="U47" s="385">
        <f>S47-T47</f>
        <v>3353</v>
      </c>
      <c r="V47" s="321">
        <v>5600</v>
      </c>
      <c r="W47" s="382">
        <v>2247</v>
      </c>
      <c r="X47" s="385">
        <f>V47-W47</f>
        <v>3353</v>
      </c>
      <c r="Y47" s="321">
        <v>5600</v>
      </c>
      <c r="Z47" s="382">
        <v>2247</v>
      </c>
      <c r="AA47" s="385">
        <f>Y47-Z47</f>
        <v>3353</v>
      </c>
      <c r="AB47" s="321">
        <v>5600</v>
      </c>
      <c r="AC47" s="382">
        <v>2247</v>
      </c>
      <c r="AD47" s="385">
        <f>AB47-AC47</f>
        <v>3353</v>
      </c>
      <c r="AE47" s="321">
        <v>5600</v>
      </c>
      <c r="AF47" s="382">
        <v>2247</v>
      </c>
      <c r="AG47" s="385">
        <f>AE47-AF47</f>
        <v>3353</v>
      </c>
      <c r="AH47" s="321">
        <v>5600</v>
      </c>
      <c r="AI47" s="382">
        <v>2247</v>
      </c>
      <c r="AJ47" s="385">
        <f>AH47-AI47</f>
        <v>3353</v>
      </c>
      <c r="AK47" s="321">
        <v>5600</v>
      </c>
      <c r="AL47" s="382">
        <v>2247</v>
      </c>
      <c r="AM47" s="385">
        <f>AK47-AL47</f>
        <v>3353</v>
      </c>
      <c r="AN47" s="322" cm="1">
        <f t="array" ref="AN47">SUMPRODUCT((D$1:AK$1&lt;&gt;"Margin")*(D$1:AK$1&lt;&gt;"Salary_$600")*D47:AK47)</f>
        <v>39200</v>
      </c>
      <c r="AO47" s="322" cm="1">
        <f t="array" ref="AO47">SUMPRODUCT((D$1:AM$1="Margin")*D47:AM47)</f>
        <v>18977</v>
      </c>
      <c r="AP47" s="415"/>
      <c r="AQ47" s="242" t="s">
        <v>31</v>
      </c>
      <c r="AR47" s="525" t="s">
        <v>32</v>
      </c>
      <c r="AS47" s="525" t="s">
        <v>84</v>
      </c>
      <c r="AT47"/>
      <c r="AU47" s="534"/>
      <c r="AV47" s="534"/>
      <c r="AW47" s="534"/>
      <c r="AX47"/>
      <c r="AY47"/>
      <c r="AZ47"/>
      <c r="BA47"/>
      <c r="BB47"/>
      <c r="BC47"/>
      <c r="BD47"/>
      <c r="BE47"/>
      <c r="BF47"/>
      <c r="BG47"/>
      <c r="BH47"/>
      <c r="BI47"/>
      <c r="BJ47"/>
      <c r="BK47"/>
      <c r="BL47"/>
      <c r="BM47"/>
      <c r="BN47"/>
      <c r="BO47"/>
      <c r="BP47"/>
      <c r="BQ47" s="157"/>
      <c r="BR47" s="235"/>
    </row>
    <row r="48" spans="1:70" ht="13.5" customHeight="1">
      <c r="A48" s="235" t="s">
        <v>155</v>
      </c>
      <c r="B48" s="235" t="s">
        <v>94</v>
      </c>
      <c r="C48" s="235" t="s">
        <v>95</v>
      </c>
      <c r="D48" s="321">
        <v>7000</v>
      </c>
      <c r="E48" s="382">
        <f>VLOOKUP($A48,'Salary Projections 2026'!$A:$D,2,FALSE)</f>
        <v>4979</v>
      </c>
      <c r="F48" s="385">
        <f t="shared" si="15"/>
        <v>2021</v>
      </c>
      <c r="G48" s="321">
        <v>7000</v>
      </c>
      <c r="H48" s="382">
        <f>VLOOKUP($A48,'Salary Projections 2026'!$A:$D,2,FALSE)</f>
        <v>4979</v>
      </c>
      <c r="I48" s="385">
        <f t="shared" si="16"/>
        <v>2021</v>
      </c>
      <c r="J48" s="321">
        <v>7000</v>
      </c>
      <c r="K48" s="382">
        <f>VLOOKUP($A48,'Salary Projections 2026'!$A:$D,2,FALSE)</f>
        <v>4979</v>
      </c>
      <c r="L48" s="385">
        <f t="shared" si="17"/>
        <v>2021</v>
      </c>
      <c r="M48" s="321">
        <v>7000</v>
      </c>
      <c r="N48" s="382">
        <f>VLOOKUP($A48,'Salary Projections 2026'!$A:$D,3,FALSE)</f>
        <v>4979</v>
      </c>
      <c r="O48" s="385">
        <f t="shared" si="18"/>
        <v>2021</v>
      </c>
      <c r="P48" s="321">
        <v>7000</v>
      </c>
      <c r="Q48" s="382">
        <f>VLOOKUP($A48,'Salary Projections 2026'!$A:$D,3,FALSE)</f>
        <v>4979</v>
      </c>
      <c r="R48" s="385">
        <f t="shared" si="19"/>
        <v>2021</v>
      </c>
      <c r="S48" s="321">
        <v>7000</v>
      </c>
      <c r="T48" s="382">
        <f>VLOOKUP($A48,'Salary Projections 2026'!$A:$D,3,FALSE)</f>
        <v>4979</v>
      </c>
      <c r="U48" s="385">
        <f t="shared" si="20"/>
        <v>2021</v>
      </c>
      <c r="V48" s="321">
        <v>7000</v>
      </c>
      <c r="W48" s="382">
        <f>VLOOKUP($A48,'Salary Projections 2026'!$A:$D,3,FALSE)</f>
        <v>4979</v>
      </c>
      <c r="X48" s="385">
        <f t="shared" si="21"/>
        <v>2021</v>
      </c>
      <c r="Y48" s="321">
        <v>7000</v>
      </c>
      <c r="Z48" s="382">
        <f>VLOOKUP($A48,'Salary Projections 2026'!$A:$D,3,FALSE)</f>
        <v>4979</v>
      </c>
      <c r="AA48" s="385">
        <f t="shared" si="22"/>
        <v>2021</v>
      </c>
      <c r="AB48" s="321">
        <v>7000</v>
      </c>
      <c r="AC48" s="382">
        <f>VLOOKUP($A48,'Salary Projections 2026'!$A:$D,3,FALSE)</f>
        <v>4979</v>
      </c>
      <c r="AD48" s="385">
        <f t="shared" si="23"/>
        <v>2021</v>
      </c>
      <c r="AE48" s="321">
        <v>7000</v>
      </c>
      <c r="AF48" s="382">
        <f>VLOOKUP($A48,'Salary Projections 2026'!$A:$D,4,FALSE)</f>
        <v>4979</v>
      </c>
      <c r="AG48" s="385">
        <f t="shared" si="24"/>
        <v>2021</v>
      </c>
      <c r="AH48" s="321">
        <v>7000</v>
      </c>
      <c r="AI48" s="382">
        <f>VLOOKUP($A48,'Salary Projections 2026'!$A:$D,4,FALSE)</f>
        <v>4979</v>
      </c>
      <c r="AJ48" s="385">
        <f t="shared" si="25"/>
        <v>2021</v>
      </c>
      <c r="AK48" s="321">
        <v>7000</v>
      </c>
      <c r="AL48" s="382">
        <f>VLOOKUP($A48,'Salary Projections 2026'!$A:$D,4,FALSE)</f>
        <v>4979</v>
      </c>
      <c r="AM48" s="385">
        <f t="shared" si="26"/>
        <v>2021</v>
      </c>
      <c r="AN48" s="322" cm="1">
        <f t="array" ref="AN48">SUMPRODUCT((D$1:AK$1&lt;&gt;"Margin")*(D$1:AK$1&lt;&gt;"Salary_$600")*D48:AK48)</f>
        <v>84000</v>
      </c>
      <c r="AO48" s="322" cm="1">
        <f t="array" ref="AO48">SUMPRODUCT((D$1:AM$1="Margin")*D48:AM48)</f>
        <v>24252</v>
      </c>
      <c r="AP48" s="415" t="s">
        <v>156</v>
      </c>
      <c r="AQ48" s="242" t="s">
        <v>127</v>
      </c>
      <c r="AR48" s="525" t="s">
        <v>157</v>
      </c>
      <c r="AS48" s="525" t="s">
        <v>84</v>
      </c>
      <c r="AU48" s="535">
        <v>86428</v>
      </c>
      <c r="AV48" s="535">
        <v>84100</v>
      </c>
      <c r="AW48" s="535">
        <v>21000</v>
      </c>
    </row>
    <row r="49" spans="1:70" ht="13.5" customHeight="1">
      <c r="A49" s="235" t="s">
        <v>158</v>
      </c>
      <c r="B49" s="235" t="s">
        <v>94</v>
      </c>
      <c r="C49" s="235" t="s">
        <v>101</v>
      </c>
      <c r="D49" s="321">
        <v>0</v>
      </c>
      <c r="E49" s="382">
        <v>0</v>
      </c>
      <c r="F49" s="385">
        <v>0</v>
      </c>
      <c r="G49" s="321">
        <v>0</v>
      </c>
      <c r="H49" s="382">
        <v>0</v>
      </c>
      <c r="I49" s="385">
        <v>0</v>
      </c>
      <c r="J49" s="321">
        <v>0</v>
      </c>
      <c r="K49" s="382">
        <v>0</v>
      </c>
      <c r="L49" s="385">
        <v>0</v>
      </c>
      <c r="M49" s="321">
        <v>0</v>
      </c>
      <c r="N49" s="382">
        <v>0</v>
      </c>
      <c r="O49" s="385">
        <v>0</v>
      </c>
      <c r="P49" s="321">
        <v>0</v>
      </c>
      <c r="Q49" s="382">
        <v>2036</v>
      </c>
      <c r="R49" s="385">
        <f>P49-Q49</f>
        <v>-2036</v>
      </c>
      <c r="S49" s="321">
        <v>13000</v>
      </c>
      <c r="T49" s="382">
        <f>3777+1600</f>
        <v>5377</v>
      </c>
      <c r="U49" s="385">
        <f>S49-T49</f>
        <v>7623</v>
      </c>
      <c r="V49" s="321">
        <v>0</v>
      </c>
      <c r="W49" s="382">
        <v>0</v>
      </c>
      <c r="X49" s="385">
        <v>0</v>
      </c>
      <c r="Y49" s="321">
        <v>0</v>
      </c>
      <c r="Z49" s="382">
        <v>0</v>
      </c>
      <c r="AA49" s="385">
        <v>0</v>
      </c>
      <c r="AB49" s="321">
        <v>0</v>
      </c>
      <c r="AC49" s="382">
        <v>0</v>
      </c>
      <c r="AD49" s="385">
        <v>0</v>
      </c>
      <c r="AE49" s="321">
        <v>0</v>
      </c>
      <c r="AF49" s="382">
        <v>0</v>
      </c>
      <c r="AG49" s="385">
        <v>0</v>
      </c>
      <c r="AH49" s="321">
        <v>0</v>
      </c>
      <c r="AI49" s="382">
        <v>0</v>
      </c>
      <c r="AJ49" s="385">
        <v>0</v>
      </c>
      <c r="AK49" s="321">
        <v>0</v>
      </c>
      <c r="AL49" s="382">
        <v>0</v>
      </c>
      <c r="AM49" s="385">
        <v>0</v>
      </c>
      <c r="AN49" s="322" cm="1">
        <f t="array" ref="AN49">SUMPRODUCT((D$1:AK$1&lt;&gt;"Margin")*(D$1:AK$1&lt;&gt;"Salary_$600")*D49:AK49)</f>
        <v>13000</v>
      </c>
      <c r="AO49" s="322" cm="1">
        <f t="array" ref="AO49">SUMPRODUCT((D$1:AM$1="Margin")*D49:AM49)</f>
        <v>5587</v>
      </c>
      <c r="AP49" s="415" t="s">
        <v>159</v>
      </c>
      <c r="AQ49" s="242" t="s">
        <v>31</v>
      </c>
      <c r="AR49" s="525" t="s">
        <v>160</v>
      </c>
      <c r="AS49" s="525" t="s">
        <v>84</v>
      </c>
      <c r="AU49" s="535">
        <v>18000</v>
      </c>
      <c r="AV49" s="535">
        <v>35000</v>
      </c>
      <c r="AW49" s="535">
        <v>33000</v>
      </c>
    </row>
    <row r="50" spans="1:70" ht="13.5" customHeight="1">
      <c r="A50" s="235" t="s">
        <v>161</v>
      </c>
      <c r="B50" s="235" t="s">
        <v>94</v>
      </c>
      <c r="C50" s="235" t="s">
        <v>101</v>
      </c>
      <c r="D50" s="321">
        <v>0</v>
      </c>
      <c r="E50" s="382">
        <v>0</v>
      </c>
      <c r="F50" s="385">
        <v>0</v>
      </c>
      <c r="G50" s="321">
        <v>0</v>
      </c>
      <c r="H50" s="382">
        <v>0</v>
      </c>
      <c r="I50" s="385">
        <v>0</v>
      </c>
      <c r="J50" s="321">
        <v>0</v>
      </c>
      <c r="K50" s="382">
        <v>0</v>
      </c>
      <c r="L50" s="385">
        <v>0</v>
      </c>
      <c r="M50" s="321">
        <v>7000</v>
      </c>
      <c r="N50" s="382">
        <v>3777</v>
      </c>
      <c r="O50" s="385">
        <f>M50-N50</f>
        <v>3223</v>
      </c>
      <c r="P50" s="321">
        <v>0</v>
      </c>
      <c r="Q50" s="382">
        <v>1741</v>
      </c>
      <c r="R50" s="385">
        <f>P50-Q50</f>
        <v>-1741</v>
      </c>
      <c r="S50" s="321">
        <v>7300</v>
      </c>
      <c r="T50" s="382">
        <v>1741</v>
      </c>
      <c r="U50" s="385">
        <f>S50-T50</f>
        <v>5559</v>
      </c>
      <c r="V50" s="321">
        <v>0</v>
      </c>
      <c r="W50" s="382">
        <v>0</v>
      </c>
      <c r="X50" s="385">
        <v>0</v>
      </c>
      <c r="Y50" s="321">
        <v>0</v>
      </c>
      <c r="Z50" s="382">
        <v>0</v>
      </c>
      <c r="AA50" s="385">
        <v>0</v>
      </c>
      <c r="AB50" s="321">
        <v>0</v>
      </c>
      <c r="AC50" s="382">
        <v>0</v>
      </c>
      <c r="AD50" s="385">
        <v>0</v>
      </c>
      <c r="AE50" s="321">
        <v>0</v>
      </c>
      <c r="AF50" s="382">
        <v>0</v>
      </c>
      <c r="AG50" s="385">
        <v>0</v>
      </c>
      <c r="AH50" s="321">
        <v>0</v>
      </c>
      <c r="AI50" s="382">
        <v>0</v>
      </c>
      <c r="AJ50" s="385">
        <v>0</v>
      </c>
      <c r="AK50" s="321">
        <v>0</v>
      </c>
      <c r="AL50" s="382">
        <v>0</v>
      </c>
      <c r="AM50" s="385">
        <v>0</v>
      </c>
      <c r="AN50" s="322" cm="1">
        <f t="array" ref="AN50">SUMPRODUCT((D$1:AK$1&lt;&gt;"Margin")*(D$1:AK$1&lt;&gt;"Salary_$600")*D50:AK50)</f>
        <v>14300</v>
      </c>
      <c r="AO50" s="322" cm="1">
        <f t="array" ref="AO50">SUMPRODUCT((D$1:AM$1="Margin")*D50:AM50)</f>
        <v>7041</v>
      </c>
      <c r="AP50" s="415"/>
      <c r="AQ50" s="242" t="s">
        <v>31</v>
      </c>
      <c r="AR50" s="525" t="s">
        <v>160</v>
      </c>
      <c r="AS50" s="525" t="s">
        <v>84</v>
      </c>
      <c r="AU50" s="534"/>
      <c r="AV50" s="534"/>
      <c r="AW50" s="534"/>
    </row>
    <row r="51" spans="1:70" s="391" customFormat="1" ht="13.5" customHeight="1">
      <c r="A51" s="235" t="s">
        <v>162</v>
      </c>
      <c r="B51" s="235" t="s">
        <v>94</v>
      </c>
      <c r="C51" s="235" t="s">
        <v>95</v>
      </c>
      <c r="D51" s="321">
        <v>13780</v>
      </c>
      <c r="E51" s="382">
        <f>VLOOKUP($A51,'Salary Projections 2026'!$A:$D,2,FALSE)</f>
        <v>9270</v>
      </c>
      <c r="F51" s="385">
        <f t="shared" si="15"/>
        <v>4510</v>
      </c>
      <c r="G51" s="321">
        <v>13780</v>
      </c>
      <c r="H51" s="382">
        <f>VLOOKUP($A51,'Salary Projections 2026'!$A:$D,2,FALSE)</f>
        <v>9270</v>
      </c>
      <c r="I51" s="385">
        <f t="shared" si="16"/>
        <v>4510</v>
      </c>
      <c r="J51" s="321">
        <v>13780</v>
      </c>
      <c r="K51" s="382">
        <f>VLOOKUP($A51,'Salary Projections 2026'!$A:$D,2,FALSE)</f>
        <v>9270</v>
      </c>
      <c r="L51" s="385">
        <f t="shared" si="17"/>
        <v>4510</v>
      </c>
      <c r="M51" s="321">
        <v>13780</v>
      </c>
      <c r="N51" s="382">
        <f>VLOOKUP($A51,'Salary Projections 2026'!$A:$D,3,FALSE)</f>
        <v>9270</v>
      </c>
      <c r="O51" s="385">
        <f t="shared" si="18"/>
        <v>4510</v>
      </c>
      <c r="P51" s="321">
        <v>13780</v>
      </c>
      <c r="Q51" s="382">
        <f>VLOOKUP($A51,'Salary Projections 2026'!$A:$D,3,FALSE)</f>
        <v>9270</v>
      </c>
      <c r="R51" s="385">
        <f t="shared" si="19"/>
        <v>4510</v>
      </c>
      <c r="S51" s="321">
        <v>13780</v>
      </c>
      <c r="T51" s="382">
        <f>VLOOKUP($A51,'Salary Projections 2026'!$A:$D,3,FALSE)</f>
        <v>9270</v>
      </c>
      <c r="U51" s="385">
        <f t="shared" si="20"/>
        <v>4510</v>
      </c>
      <c r="V51" s="321">
        <v>13780</v>
      </c>
      <c r="W51" s="382">
        <f>VLOOKUP($A51,'Salary Projections 2026'!$A:$D,3,FALSE)</f>
        <v>9270</v>
      </c>
      <c r="X51" s="385">
        <f t="shared" si="21"/>
        <v>4510</v>
      </c>
      <c r="Y51" s="321">
        <v>13780</v>
      </c>
      <c r="Z51" s="382">
        <f>VLOOKUP($A51,'Salary Projections 2026'!$A:$D,3,FALSE)</f>
        <v>9270</v>
      </c>
      <c r="AA51" s="385">
        <f t="shared" si="22"/>
        <v>4510</v>
      </c>
      <c r="AB51" s="321">
        <v>13780</v>
      </c>
      <c r="AC51" s="382">
        <f>VLOOKUP($A51,'Salary Projections 2026'!$A:$D,3,FALSE)</f>
        <v>9270</v>
      </c>
      <c r="AD51" s="385">
        <f t="shared" si="23"/>
        <v>4510</v>
      </c>
      <c r="AE51" s="321">
        <v>13780</v>
      </c>
      <c r="AF51" s="382">
        <f>VLOOKUP($A51,'Salary Projections 2026'!$A:$D,4,FALSE)</f>
        <v>9270</v>
      </c>
      <c r="AG51" s="385">
        <f t="shared" si="24"/>
        <v>4510</v>
      </c>
      <c r="AH51" s="321">
        <v>13780</v>
      </c>
      <c r="AI51" s="382">
        <f>VLOOKUP($A51,'Salary Projections 2026'!$A:$D,4,FALSE)</f>
        <v>9270</v>
      </c>
      <c r="AJ51" s="385">
        <f t="shared" si="25"/>
        <v>4510</v>
      </c>
      <c r="AK51" s="321">
        <v>13780</v>
      </c>
      <c r="AL51" s="382">
        <f>VLOOKUP($A51,'Salary Projections 2026'!$A:$D,4,FALSE)</f>
        <v>9270</v>
      </c>
      <c r="AM51" s="385">
        <f t="shared" si="26"/>
        <v>4510</v>
      </c>
      <c r="AN51" s="322" cm="1">
        <f t="array" ref="AN51">SUMPRODUCT((D$1:AK$1&lt;&gt;"Margin")*(D$1:AK$1&lt;&gt;"Salary_$600")*D51:AK51)</f>
        <v>165360</v>
      </c>
      <c r="AO51" s="322" cm="1">
        <f t="array" ref="AO51">SUMPRODUCT((D$1:AM$1="Margin")*D51:AM51)</f>
        <v>54120</v>
      </c>
      <c r="AP51" s="415" t="s">
        <v>163</v>
      </c>
      <c r="AQ51" s="242" t="s">
        <v>31</v>
      </c>
      <c r="AR51" s="525" t="s">
        <v>164</v>
      </c>
      <c r="AS51" s="525" t="s">
        <v>84</v>
      </c>
      <c r="AT51"/>
      <c r="AU51" s="535">
        <v>192000</v>
      </c>
      <c r="AV51" s="535">
        <v>192000</v>
      </c>
      <c r="AW51" s="535">
        <v>48000</v>
      </c>
      <c r="AX51"/>
      <c r="AY51"/>
      <c r="AZ51"/>
      <c r="BA51"/>
      <c r="BB51"/>
      <c r="BC51"/>
      <c r="BD51"/>
      <c r="BE51"/>
      <c r="BF51"/>
      <c r="BG51"/>
      <c r="BH51"/>
      <c r="BI51"/>
      <c r="BJ51"/>
      <c r="BK51"/>
      <c r="BL51"/>
      <c r="BM51"/>
      <c r="BN51"/>
      <c r="BO51"/>
      <c r="BP51"/>
      <c r="BQ51" s="157"/>
      <c r="BR51" s="167"/>
    </row>
    <row r="52" spans="1:70" s="391" customFormat="1" ht="13.5" customHeight="1">
      <c r="A52" s="235" t="s">
        <v>165</v>
      </c>
      <c r="B52" s="235" t="s">
        <v>94</v>
      </c>
      <c r="C52" s="235" t="s">
        <v>95</v>
      </c>
      <c r="D52" s="321">
        <v>19030</v>
      </c>
      <c r="E52" s="382">
        <f>VLOOKUP($A52,'Salary Projections 2026'!$A:$D,2,FALSE)</f>
        <v>11884</v>
      </c>
      <c r="F52" s="385">
        <f t="shared" si="15"/>
        <v>7146</v>
      </c>
      <c r="G52" s="321">
        <v>19030</v>
      </c>
      <c r="H52" s="382">
        <f>VLOOKUP($A52,'Salary Projections 2026'!$A:$D,2,FALSE)</f>
        <v>11884</v>
      </c>
      <c r="I52" s="385">
        <f t="shared" si="16"/>
        <v>7146</v>
      </c>
      <c r="J52" s="321">
        <v>19030</v>
      </c>
      <c r="K52" s="382">
        <f>VLOOKUP($A52,'Salary Projections 2026'!$A:$D,2,FALSE)</f>
        <v>11884</v>
      </c>
      <c r="L52" s="385">
        <f t="shared" si="17"/>
        <v>7146</v>
      </c>
      <c r="M52" s="321">
        <v>19030</v>
      </c>
      <c r="N52" s="382">
        <f>VLOOKUP($A52,'Salary Projections 2026'!$A:$D,3,FALSE)</f>
        <v>11884</v>
      </c>
      <c r="O52" s="385">
        <f t="shared" si="18"/>
        <v>7146</v>
      </c>
      <c r="P52" s="321">
        <v>19030</v>
      </c>
      <c r="Q52" s="382">
        <f>VLOOKUP($A52,'Salary Projections 2026'!$A:$D,3,FALSE)</f>
        <v>11884</v>
      </c>
      <c r="R52" s="385">
        <f t="shared" si="19"/>
        <v>7146</v>
      </c>
      <c r="S52" s="321">
        <v>19030</v>
      </c>
      <c r="T52" s="382">
        <f>VLOOKUP($A52,'Salary Projections 2026'!$A:$D,3,FALSE)</f>
        <v>11884</v>
      </c>
      <c r="U52" s="385">
        <f t="shared" si="20"/>
        <v>7146</v>
      </c>
      <c r="V52" s="321">
        <v>19030</v>
      </c>
      <c r="W52" s="382">
        <f>VLOOKUP($A52,'Salary Projections 2026'!$A:$D,3,FALSE)</f>
        <v>11884</v>
      </c>
      <c r="X52" s="385">
        <f t="shared" si="21"/>
        <v>7146</v>
      </c>
      <c r="Y52" s="321">
        <v>19030</v>
      </c>
      <c r="Z52" s="382">
        <f>VLOOKUP($A52,'Salary Projections 2026'!$A:$D,3,FALSE)</f>
        <v>11884</v>
      </c>
      <c r="AA52" s="385">
        <f t="shared" si="22"/>
        <v>7146</v>
      </c>
      <c r="AB52" s="321">
        <v>19030</v>
      </c>
      <c r="AC52" s="382">
        <f>VLOOKUP($A52,'Salary Projections 2026'!$A:$D,3,FALSE)</f>
        <v>11884</v>
      </c>
      <c r="AD52" s="385">
        <f t="shared" si="23"/>
        <v>7146</v>
      </c>
      <c r="AE52" s="321">
        <v>19030</v>
      </c>
      <c r="AF52" s="382">
        <f>VLOOKUP($A52,'Salary Projections 2026'!$A:$D,4,FALSE)</f>
        <v>11884</v>
      </c>
      <c r="AG52" s="385">
        <f t="shared" si="24"/>
        <v>7146</v>
      </c>
      <c r="AH52" s="321">
        <v>19030</v>
      </c>
      <c r="AI52" s="382">
        <f>VLOOKUP($A52,'Salary Projections 2026'!$A:$D,4,FALSE)</f>
        <v>11884</v>
      </c>
      <c r="AJ52" s="385">
        <f t="shared" si="25"/>
        <v>7146</v>
      </c>
      <c r="AK52" s="321">
        <v>19030</v>
      </c>
      <c r="AL52" s="382">
        <f>VLOOKUP($A52,'Salary Projections 2026'!$A:$D,4,FALSE)</f>
        <v>11884</v>
      </c>
      <c r="AM52" s="385">
        <f t="shared" si="26"/>
        <v>7146</v>
      </c>
      <c r="AN52" s="322" cm="1">
        <f t="array" ref="AN52">SUMPRODUCT((D$1:AK$1&lt;&gt;"Margin")*(D$1:AK$1&lt;&gt;"Salary_$600")*D52:AK52)</f>
        <v>228360</v>
      </c>
      <c r="AO52" s="322" cm="1">
        <f t="array" ref="AO52">SUMPRODUCT((D$1:AM$1="Margin")*D52:AM52)</f>
        <v>85752</v>
      </c>
      <c r="AP52" s="415" t="s">
        <v>166</v>
      </c>
      <c r="AQ52" s="242" t="s">
        <v>31</v>
      </c>
      <c r="AR52" s="525" t="s">
        <v>167</v>
      </c>
      <c r="AS52" s="525" t="s">
        <v>84</v>
      </c>
      <c r="AT52"/>
      <c r="AU52" s="535">
        <v>188454</v>
      </c>
      <c r="AV52" s="535">
        <v>193200</v>
      </c>
      <c r="AW52" s="535">
        <v>51900</v>
      </c>
      <c r="AX52"/>
      <c r="AY52"/>
      <c r="AZ52"/>
      <c r="BA52"/>
      <c r="BB52"/>
      <c r="BC52"/>
      <c r="BD52"/>
      <c r="BE52"/>
      <c r="BF52"/>
      <c r="BG52"/>
      <c r="BH52"/>
      <c r="BI52"/>
      <c r="BJ52"/>
      <c r="BK52"/>
      <c r="BL52"/>
      <c r="BM52"/>
      <c r="BN52"/>
      <c r="BO52"/>
      <c r="BP52"/>
      <c r="BQ52" s="157"/>
      <c r="BR52" s="167"/>
    </row>
    <row r="53" spans="1:70" s="391" customFormat="1" ht="13.5" customHeight="1">
      <c r="A53" s="235" t="s">
        <v>168</v>
      </c>
      <c r="B53" s="235" t="s">
        <v>94</v>
      </c>
      <c r="C53" s="235" t="s">
        <v>95</v>
      </c>
      <c r="D53" s="321">
        <v>27325</v>
      </c>
      <c r="E53" s="382">
        <f>VLOOKUP($A53,'Salary Projections 2026'!$A:$D,2,FALSE)</f>
        <v>13073</v>
      </c>
      <c r="F53" s="385">
        <f t="shared" si="15"/>
        <v>14252</v>
      </c>
      <c r="G53" s="321">
        <v>29275</v>
      </c>
      <c r="H53" s="382">
        <f>VLOOKUP($A53,'Salary Projections 2026'!$A:$D,2,FALSE)</f>
        <v>13073</v>
      </c>
      <c r="I53" s="385">
        <f t="shared" si="16"/>
        <v>16202</v>
      </c>
      <c r="J53" s="321">
        <f>650+27325</f>
        <v>27975</v>
      </c>
      <c r="K53" s="382">
        <f>VLOOKUP($A53,'Salary Projections 2026'!$A:$D,2,FALSE)</f>
        <v>13073</v>
      </c>
      <c r="L53" s="385">
        <f t="shared" si="17"/>
        <v>14902</v>
      </c>
      <c r="M53" s="321">
        <f>650+27325</f>
        <v>27975</v>
      </c>
      <c r="N53" s="382">
        <f>VLOOKUP($A53,'Salary Projections 2026'!$A:$D,3,FALSE)</f>
        <v>13973</v>
      </c>
      <c r="O53" s="385">
        <f t="shared" si="18"/>
        <v>14002</v>
      </c>
      <c r="P53" s="321">
        <f>650+27325</f>
        <v>27975</v>
      </c>
      <c r="Q53" s="382">
        <f>VLOOKUP($A53,'Salary Projections 2026'!$A:$D,3,FALSE)</f>
        <v>13973</v>
      </c>
      <c r="R53" s="385">
        <f t="shared" si="19"/>
        <v>14002</v>
      </c>
      <c r="S53" s="321">
        <f>650+27325</f>
        <v>27975</v>
      </c>
      <c r="T53" s="382">
        <f>VLOOKUP($A53,'Salary Projections 2026'!$A:$D,3,FALSE)</f>
        <v>13973</v>
      </c>
      <c r="U53" s="385">
        <f t="shared" si="20"/>
        <v>14002</v>
      </c>
      <c r="V53" s="321">
        <f>650+27325</f>
        <v>27975</v>
      </c>
      <c r="W53" s="382">
        <f>VLOOKUP($A53,'Salary Projections 2026'!$A:$D,3,FALSE)</f>
        <v>13973</v>
      </c>
      <c r="X53" s="385">
        <f t="shared" si="21"/>
        <v>14002</v>
      </c>
      <c r="Y53" s="321">
        <f>650+27325</f>
        <v>27975</v>
      </c>
      <c r="Z53" s="382">
        <f>VLOOKUP($A53,'Salary Projections 2026'!$A:$D,3,FALSE)</f>
        <v>13973</v>
      </c>
      <c r="AA53" s="385">
        <f t="shared" si="22"/>
        <v>14002</v>
      </c>
      <c r="AB53" s="321">
        <f>650+27325</f>
        <v>27975</v>
      </c>
      <c r="AC53" s="382">
        <f>VLOOKUP($A53,'Salary Projections 2026'!$A:$D,3,FALSE)</f>
        <v>13973</v>
      </c>
      <c r="AD53" s="385">
        <f t="shared" si="23"/>
        <v>14002</v>
      </c>
      <c r="AE53" s="321">
        <f>650+27325</f>
        <v>27975</v>
      </c>
      <c r="AF53" s="382">
        <f>VLOOKUP($A53,'Salary Projections 2026'!$A:$D,4,FALSE)</f>
        <v>13973</v>
      </c>
      <c r="AG53" s="385">
        <f t="shared" si="24"/>
        <v>14002</v>
      </c>
      <c r="AH53" s="321">
        <f>650+27325</f>
        <v>27975</v>
      </c>
      <c r="AI53" s="382">
        <f>VLOOKUP($A53,'Salary Projections 2026'!$A:$D,4,FALSE)</f>
        <v>13973</v>
      </c>
      <c r="AJ53" s="385">
        <f t="shared" si="25"/>
        <v>14002</v>
      </c>
      <c r="AK53" s="321">
        <f>650+27325</f>
        <v>27975</v>
      </c>
      <c r="AL53" s="382">
        <f>VLOOKUP($A53,'Salary Projections 2026'!$A:$D,4,FALSE)</f>
        <v>13973</v>
      </c>
      <c r="AM53" s="385">
        <f t="shared" si="26"/>
        <v>14002</v>
      </c>
      <c r="AN53" s="322" cm="1">
        <f t="array" ref="AN53">SUMPRODUCT((D$1:AK$1&lt;&gt;"Margin")*(D$1:AK$1&lt;&gt;"Salary_$600")*D53:AK53)</f>
        <v>336350</v>
      </c>
      <c r="AO53" s="322" cm="1">
        <f t="array" ref="AO53">SUMPRODUCT((D$1:AM$1="Margin")*D53:AM53)</f>
        <v>171374</v>
      </c>
      <c r="AP53" s="415" t="s">
        <v>169</v>
      </c>
      <c r="AQ53" s="242" t="s">
        <v>31</v>
      </c>
      <c r="AR53" s="525" t="s">
        <v>170</v>
      </c>
      <c r="AS53" s="525" t="s">
        <v>84</v>
      </c>
      <c r="AT53"/>
      <c r="AU53" s="535">
        <v>551110</v>
      </c>
      <c r="AV53" s="535">
        <v>503752</v>
      </c>
      <c r="AW53" s="535">
        <v>125925</v>
      </c>
      <c r="AX53"/>
      <c r="AY53"/>
      <c r="AZ53"/>
      <c r="BA53"/>
      <c r="BB53"/>
      <c r="BC53"/>
      <c r="BD53"/>
      <c r="BE53"/>
      <c r="BF53"/>
      <c r="BG53"/>
      <c r="BH53"/>
      <c r="BI53"/>
      <c r="BJ53"/>
      <c r="BK53"/>
      <c r="BL53"/>
      <c r="BM53"/>
      <c r="BN53"/>
      <c r="BO53"/>
      <c r="BP53"/>
      <c r="BQ53" s="157"/>
      <c r="BR53" s="167"/>
    </row>
    <row r="54" spans="1:70" s="391" customFormat="1" ht="13.5" customHeight="1">
      <c r="A54" s="235" t="s">
        <v>171</v>
      </c>
      <c r="B54" s="235" t="s">
        <v>94</v>
      </c>
      <c r="C54" s="235" t="s">
        <v>95</v>
      </c>
      <c r="D54" s="321">
        <v>16666</v>
      </c>
      <c r="E54" s="382">
        <f>VLOOKUP($A54,'Salary Projections 2026'!$A:$D,2,FALSE)</f>
        <v>14938</v>
      </c>
      <c r="F54" s="385">
        <f t="shared" si="15"/>
        <v>1728</v>
      </c>
      <c r="G54" s="321">
        <v>16666</v>
      </c>
      <c r="H54" s="382">
        <f>VLOOKUP($A54,'Salary Projections 2026'!$A:$D,2,FALSE)</f>
        <v>14938</v>
      </c>
      <c r="I54" s="385">
        <f t="shared" si="16"/>
        <v>1728</v>
      </c>
      <c r="J54" s="321">
        <v>16666</v>
      </c>
      <c r="K54" s="382">
        <f>VLOOKUP($A54,'Salary Projections 2026'!$A:$D,2,FALSE)</f>
        <v>14938</v>
      </c>
      <c r="L54" s="385">
        <f t="shared" si="17"/>
        <v>1728</v>
      </c>
      <c r="M54" s="321">
        <v>16666</v>
      </c>
      <c r="N54" s="382">
        <f>VLOOKUP($A54,'Salary Projections 2026'!$A:$D,3,FALSE)</f>
        <v>14938</v>
      </c>
      <c r="O54" s="385">
        <f t="shared" si="18"/>
        <v>1728</v>
      </c>
      <c r="P54" s="321">
        <v>16666</v>
      </c>
      <c r="Q54" s="382">
        <f>VLOOKUP($A54,'Salary Projections 2026'!$A:$D,3,FALSE)</f>
        <v>14938</v>
      </c>
      <c r="R54" s="385">
        <f t="shared" si="19"/>
        <v>1728</v>
      </c>
      <c r="S54" s="321">
        <v>16666</v>
      </c>
      <c r="T54" s="382">
        <f>VLOOKUP($A54,'Salary Projections 2026'!$A:$D,3,FALSE)</f>
        <v>14938</v>
      </c>
      <c r="U54" s="385">
        <f t="shared" si="20"/>
        <v>1728</v>
      </c>
      <c r="V54" s="321">
        <v>16666</v>
      </c>
      <c r="W54" s="382">
        <f>VLOOKUP($A54,'Salary Projections 2026'!$A:$D,3,FALSE)</f>
        <v>14938</v>
      </c>
      <c r="X54" s="385">
        <f t="shared" si="21"/>
        <v>1728</v>
      </c>
      <c r="Y54" s="321">
        <v>16666</v>
      </c>
      <c r="Z54" s="382">
        <f>VLOOKUP($A54,'Salary Projections 2026'!$A:$D,3,FALSE)</f>
        <v>14938</v>
      </c>
      <c r="AA54" s="385">
        <f t="shared" si="22"/>
        <v>1728</v>
      </c>
      <c r="AB54" s="321">
        <v>16666</v>
      </c>
      <c r="AC54" s="382">
        <f>VLOOKUP($A54,'Salary Projections 2026'!$A:$D,3,FALSE)</f>
        <v>14938</v>
      </c>
      <c r="AD54" s="385">
        <f t="shared" si="23"/>
        <v>1728</v>
      </c>
      <c r="AE54" s="321">
        <v>16666</v>
      </c>
      <c r="AF54" s="382">
        <f>VLOOKUP($A54,'Salary Projections 2026'!$A:$D,3,FALSE)</f>
        <v>14938</v>
      </c>
      <c r="AG54" s="385">
        <f t="shared" si="24"/>
        <v>1728</v>
      </c>
      <c r="AH54" s="321">
        <v>16666</v>
      </c>
      <c r="AI54" s="382">
        <f>VLOOKUP($A54,'Salary Projections 2026'!$A:$D,3,FALSE)</f>
        <v>14938</v>
      </c>
      <c r="AJ54" s="385">
        <f t="shared" si="25"/>
        <v>1728</v>
      </c>
      <c r="AK54" s="321">
        <v>16666</v>
      </c>
      <c r="AL54" s="382">
        <f>VLOOKUP($A54,'Salary Projections 2026'!$A:$D,3,FALSE)</f>
        <v>14938</v>
      </c>
      <c r="AM54" s="385">
        <f t="shared" si="26"/>
        <v>1728</v>
      </c>
      <c r="AN54" s="322" cm="1">
        <f t="array" ref="AN54">SUMPRODUCT((D$1:AK$1&lt;&gt;"Margin")*(D$1:AK$1&lt;&gt;"Salary_$600")*D54:AK54)</f>
        <v>199992</v>
      </c>
      <c r="AO54" s="322" cm="1">
        <f t="array" ref="AO54">SUMPRODUCT((D$1:AM$1="Margin")*D54:AM54)</f>
        <v>20736</v>
      </c>
      <c r="AP54" s="415" t="s">
        <v>172</v>
      </c>
      <c r="AQ54" s="242" t="s">
        <v>31</v>
      </c>
      <c r="AR54" s="525" t="s">
        <v>173</v>
      </c>
      <c r="AS54" s="525" t="s">
        <v>84</v>
      </c>
      <c r="AT54"/>
      <c r="AU54" s="535">
        <v>200992</v>
      </c>
      <c r="AV54" s="535">
        <v>199992</v>
      </c>
      <c r="AW54" s="535">
        <v>49998</v>
      </c>
      <c r="AX54"/>
      <c r="AY54"/>
      <c r="AZ54"/>
      <c r="BA54"/>
      <c r="BB54"/>
      <c r="BC54"/>
      <c r="BD54"/>
      <c r="BE54"/>
      <c r="BF54"/>
      <c r="BG54"/>
      <c r="BH54"/>
      <c r="BI54"/>
      <c r="BJ54"/>
      <c r="BK54"/>
      <c r="BL54"/>
      <c r="BM54"/>
      <c r="BN54"/>
      <c r="BO54"/>
      <c r="BP54"/>
      <c r="BQ54" s="157"/>
      <c r="BR54" s="167"/>
    </row>
    <row r="55" spans="1:70" ht="13.5" customHeight="1">
      <c r="A55" s="235" t="s">
        <v>174</v>
      </c>
      <c r="B55" s="235" t="s">
        <v>94</v>
      </c>
      <c r="C55" s="235" t="s">
        <v>95</v>
      </c>
      <c r="D55" s="321">
        <f t="shared" ref="D55:AE55" si="28">45600-4600</f>
        <v>41000</v>
      </c>
      <c r="E55" s="382">
        <v>25641</v>
      </c>
      <c r="F55" s="385">
        <f t="shared" si="15"/>
        <v>15359</v>
      </c>
      <c r="G55" s="321">
        <v>31800</v>
      </c>
      <c r="H55" s="382">
        <f>VLOOKUP($A55,'Salary Projections 2026'!$A:$D,2,FALSE)</f>
        <v>20001</v>
      </c>
      <c r="I55" s="385">
        <f t="shared" si="16"/>
        <v>11799</v>
      </c>
      <c r="J55" s="321">
        <v>31800</v>
      </c>
      <c r="K55" s="382">
        <f>VLOOKUP($A55,'Salary Projections 2026'!$A:$D,2,FALSE)</f>
        <v>20001</v>
      </c>
      <c r="L55" s="385">
        <f t="shared" si="17"/>
        <v>11799</v>
      </c>
      <c r="M55" s="321">
        <v>31800</v>
      </c>
      <c r="N55" s="382">
        <f>VLOOKUP($A55,'Salary Projections 2026'!$A:$D,3,FALSE)</f>
        <v>20001</v>
      </c>
      <c r="O55" s="385">
        <f t="shared" si="18"/>
        <v>11799</v>
      </c>
      <c r="P55" s="321">
        <v>31800</v>
      </c>
      <c r="Q55" s="382">
        <f>VLOOKUP($A55,'Salary Projections 2026'!$A:$D,3,FALSE)</f>
        <v>20001</v>
      </c>
      <c r="R55" s="385">
        <f t="shared" si="19"/>
        <v>11799</v>
      </c>
      <c r="S55" s="321">
        <v>31800</v>
      </c>
      <c r="T55" s="382">
        <f>VLOOKUP($A55,'Salary Projections 2026'!$A:$D,3,FALSE)</f>
        <v>20001</v>
      </c>
      <c r="U55" s="385">
        <f t="shared" si="20"/>
        <v>11799</v>
      </c>
      <c r="V55" s="321">
        <v>31800</v>
      </c>
      <c r="W55" s="382">
        <f>VLOOKUP($A55,'Salary Projections 2026'!$A:$D,3,FALSE)</f>
        <v>20001</v>
      </c>
      <c r="X55" s="385">
        <f t="shared" si="21"/>
        <v>11799</v>
      </c>
      <c r="Y55" s="321">
        <v>31800</v>
      </c>
      <c r="Z55" s="382">
        <f>VLOOKUP($A55,'Salary Projections 2026'!$A:$D,3,FALSE)</f>
        <v>20001</v>
      </c>
      <c r="AA55" s="385">
        <f t="shared" si="22"/>
        <v>11799</v>
      </c>
      <c r="AB55" s="321">
        <v>31800</v>
      </c>
      <c r="AC55" s="382">
        <f>VLOOKUP($A55,'Salary Projections 2026'!$A:$D,3,FALSE)</f>
        <v>20001</v>
      </c>
      <c r="AD55" s="385">
        <f t="shared" si="23"/>
        <v>11799</v>
      </c>
      <c r="AE55" s="321">
        <v>31800</v>
      </c>
      <c r="AF55" s="382">
        <f>VLOOKUP($A55,'Salary Projections 2026'!$A:$D,4,FALSE)</f>
        <v>20001</v>
      </c>
      <c r="AG55" s="385">
        <f t="shared" si="24"/>
        <v>11799</v>
      </c>
      <c r="AH55" s="321">
        <v>31800</v>
      </c>
      <c r="AI55" s="382">
        <f>VLOOKUP($A55,'Salary Projections 2026'!$A:$D,4,FALSE)</f>
        <v>20001</v>
      </c>
      <c r="AJ55" s="385">
        <f t="shared" si="25"/>
        <v>11799</v>
      </c>
      <c r="AK55" s="321">
        <v>31800</v>
      </c>
      <c r="AL55" s="382">
        <f>VLOOKUP($A55,'Salary Projections 2026'!$A:$D,4,FALSE)</f>
        <v>20001</v>
      </c>
      <c r="AM55" s="385">
        <f t="shared" si="26"/>
        <v>11799</v>
      </c>
      <c r="AN55" s="322" cm="1">
        <f t="array" ref="AN55">SUMPRODUCT((D$1:AK$1&lt;&gt;"Margin")*(D$1:AK$1&lt;&gt;"Salary_$600")*D55:AK55)</f>
        <v>390800</v>
      </c>
      <c r="AO55" s="322" cm="1">
        <f t="array" ref="AO55">SUMPRODUCT((D$1:AM$1="Margin")*D55:AM55)</f>
        <v>145148</v>
      </c>
      <c r="AP55" s="415" t="s">
        <v>175</v>
      </c>
      <c r="AQ55" s="242" t="s">
        <v>31</v>
      </c>
      <c r="AR55" s="525" t="s">
        <v>176</v>
      </c>
      <c r="AS55" s="525" t="s">
        <v>84</v>
      </c>
      <c r="AU55" s="535">
        <v>486086</v>
      </c>
      <c r="AV55" s="535">
        <v>533400</v>
      </c>
      <c r="AW55" s="535">
        <v>127600</v>
      </c>
    </row>
    <row r="56" spans="1:70" ht="13.5" customHeight="1">
      <c r="A56" s="235" t="s">
        <v>177</v>
      </c>
      <c r="B56" s="235" t="s">
        <v>94</v>
      </c>
      <c r="C56" s="235" t="s">
        <v>95</v>
      </c>
      <c r="D56" s="321">
        <v>5060</v>
      </c>
      <c r="E56" s="382">
        <f>VLOOKUP($A56,'Salary Projections 2026'!$A:$D,2,FALSE)</f>
        <v>3698</v>
      </c>
      <c r="F56" s="385">
        <f t="shared" si="15"/>
        <v>1362</v>
      </c>
      <c r="G56" s="321">
        <v>4700</v>
      </c>
      <c r="H56" s="382">
        <f>VLOOKUP($A56,'Salary Projections 2026'!$A:$D,2,FALSE)</f>
        <v>3698</v>
      </c>
      <c r="I56" s="385">
        <f t="shared" si="16"/>
        <v>1002</v>
      </c>
      <c r="J56" s="321">
        <v>4680</v>
      </c>
      <c r="K56" s="382">
        <f>VLOOKUP($A56,'Salary Projections 2026'!$A:$D,2,FALSE)</f>
        <v>3698</v>
      </c>
      <c r="L56" s="385">
        <f t="shared" si="17"/>
        <v>982</v>
      </c>
      <c r="M56" s="321">
        <v>4580</v>
      </c>
      <c r="N56" s="382">
        <f>VLOOKUP($A56,'Salary Projections 2026'!$A:$D,3,FALSE)</f>
        <v>3698</v>
      </c>
      <c r="O56" s="385">
        <f t="shared" si="18"/>
        <v>882</v>
      </c>
      <c r="P56" s="321">
        <v>4560</v>
      </c>
      <c r="Q56" s="382">
        <f>VLOOKUP($A56,'Salary Projections 2026'!$A:$D,3,FALSE)</f>
        <v>3698</v>
      </c>
      <c r="R56" s="385">
        <f t="shared" si="19"/>
        <v>862</v>
      </c>
      <c r="S56" s="321">
        <v>4500</v>
      </c>
      <c r="T56" s="382">
        <f>VLOOKUP($A56,'Salary Projections 2026'!$A:$D,3,FALSE)</f>
        <v>3698</v>
      </c>
      <c r="U56" s="385">
        <f t="shared" si="20"/>
        <v>802</v>
      </c>
      <c r="V56" s="321">
        <v>4500</v>
      </c>
      <c r="W56" s="382">
        <f>VLOOKUP($A56,'Salary Projections 2026'!$A:$D,3,FALSE)</f>
        <v>3698</v>
      </c>
      <c r="X56" s="385">
        <f t="shared" si="21"/>
        <v>802</v>
      </c>
      <c r="Y56" s="321">
        <v>4500</v>
      </c>
      <c r="Z56" s="382">
        <f>VLOOKUP($A56,'Salary Projections 2026'!$A:$D,3,FALSE)</f>
        <v>3698</v>
      </c>
      <c r="AA56" s="385">
        <f t="shared" si="22"/>
        <v>802</v>
      </c>
      <c r="AB56" s="321">
        <v>4500</v>
      </c>
      <c r="AC56" s="382">
        <f>VLOOKUP($A56,'Salary Projections 2026'!$A:$D,3,FALSE)</f>
        <v>3698</v>
      </c>
      <c r="AD56" s="385">
        <f t="shared" si="23"/>
        <v>802</v>
      </c>
      <c r="AE56" s="321">
        <v>4500</v>
      </c>
      <c r="AF56" s="382">
        <f>VLOOKUP($A56,'Salary Projections 2026'!$A:$D,4,FALSE)</f>
        <v>3698</v>
      </c>
      <c r="AG56" s="385">
        <f t="shared" si="24"/>
        <v>802</v>
      </c>
      <c r="AH56" s="321">
        <v>4500</v>
      </c>
      <c r="AI56" s="382">
        <f>VLOOKUP($A56,'Salary Projections 2026'!$A:$D,4,FALSE)</f>
        <v>3698</v>
      </c>
      <c r="AJ56" s="385">
        <f t="shared" si="25"/>
        <v>802</v>
      </c>
      <c r="AK56" s="321">
        <v>4500</v>
      </c>
      <c r="AL56" s="382">
        <f>VLOOKUP($A56,'Salary Projections 2026'!$A:$D,4,FALSE)</f>
        <v>3698</v>
      </c>
      <c r="AM56" s="385">
        <f t="shared" si="26"/>
        <v>802</v>
      </c>
      <c r="AN56" s="322" cm="1">
        <f t="array" ref="AN56">SUMPRODUCT((D$1:AK$1&lt;&gt;"Margin")*(D$1:AK$1&lt;&gt;"Salary_$600")*D56:AK56)</f>
        <v>55080</v>
      </c>
      <c r="AO56" s="322" cm="1">
        <f t="array" ref="AO56">SUMPRODUCT((D$1:AM$1="Margin")*D56:AM56)</f>
        <v>10704</v>
      </c>
      <c r="AP56" s="415" t="s">
        <v>178</v>
      </c>
      <c r="AQ56" s="242" t="s">
        <v>31</v>
      </c>
      <c r="AR56" s="525" t="s">
        <v>179</v>
      </c>
      <c r="AS56" s="525" t="s">
        <v>84</v>
      </c>
      <c r="AU56" s="535">
        <v>29847</v>
      </c>
      <c r="AV56" s="535">
        <v>58661</v>
      </c>
      <c r="AW56" s="535">
        <v>13981</v>
      </c>
    </row>
    <row r="57" spans="1:70" customFormat="1" ht="13.5" customHeight="1">
      <c r="AP57" s="156"/>
      <c r="AR57" s="526"/>
      <c r="AS57" s="526"/>
      <c r="AU57" s="534"/>
      <c r="AV57" s="534"/>
      <c r="AW57" s="534"/>
    </row>
    <row r="58" spans="1:70" customFormat="1" ht="13.5" customHeight="1">
      <c r="A58" s="371" t="s">
        <v>180</v>
      </c>
      <c r="B58" s="371"/>
      <c r="C58" s="371"/>
      <c r="D58" s="372">
        <f>SUM(D4:D57)</f>
        <v>442851</v>
      </c>
      <c r="E58" s="372"/>
      <c r="F58" s="372">
        <f>SUM(F4:F57)</f>
        <v>92992.333333333343</v>
      </c>
      <c r="G58" s="372">
        <f>SUM(G4:G57)</f>
        <v>431076</v>
      </c>
      <c r="H58" s="372"/>
      <c r="I58" s="372">
        <f>SUM(I4:I57)</f>
        <v>85926.333333333343</v>
      </c>
      <c r="J58" s="372">
        <f>SUM(J4:J57)</f>
        <v>636198</v>
      </c>
      <c r="K58" s="372"/>
      <c r="L58" s="372">
        <f>SUM(L4:L57)</f>
        <v>274409.83333333337</v>
      </c>
      <c r="M58" s="372">
        <f>SUM(M4:M57)</f>
        <v>465386</v>
      </c>
      <c r="N58" s="372"/>
      <c r="O58" s="372">
        <f>SUM(O4:O57)</f>
        <v>139597</v>
      </c>
      <c r="P58" s="372">
        <f>SUM(P4:P57)</f>
        <v>426791</v>
      </c>
      <c r="Q58" s="372"/>
      <c r="R58" s="372">
        <f>SUM(R4:R57)</f>
        <v>95988.092592592584</v>
      </c>
      <c r="S58" s="372">
        <f>SUM(S4:S57)</f>
        <v>459706</v>
      </c>
      <c r="T58" s="372"/>
      <c r="U58" s="372">
        <f>SUM(U4:U57)</f>
        <v>115582.37037037036</v>
      </c>
      <c r="V58" s="372">
        <f>SUM(V4:V57)</f>
        <v>420401</v>
      </c>
      <c r="W58" s="372"/>
      <c r="X58" s="372">
        <f>SUM(X4:X57)</f>
        <v>97444.370370370365</v>
      </c>
      <c r="Y58" s="372">
        <f>SUM(Y4:Y57)</f>
        <v>432451</v>
      </c>
      <c r="Z58" s="372"/>
      <c r="AA58" s="372">
        <f>SUM(AA4:AA57)</f>
        <v>103999.37037037036</v>
      </c>
      <c r="AB58" s="372">
        <f>SUM(AB4:AB57)</f>
        <v>584241</v>
      </c>
      <c r="AC58" s="372"/>
      <c r="AD58" s="372">
        <f>SUM(AD4:AD57)</f>
        <v>255789.37037037036</v>
      </c>
      <c r="AE58" s="372">
        <f>SUM(AE4:AE57)</f>
        <v>480731</v>
      </c>
      <c r="AF58" s="372"/>
      <c r="AG58" s="372">
        <f>SUM(AG4:AG57)</f>
        <v>152279.37037037036</v>
      </c>
      <c r="AH58" s="372">
        <f>SUM(AH4:AH57)</f>
        <v>446611</v>
      </c>
      <c r="AI58" s="372"/>
      <c r="AJ58" s="372">
        <f>SUM(AJ4:AJ57)</f>
        <v>106159.37037037036</v>
      </c>
      <c r="AK58" s="372">
        <f>SUM(AK4:AK57)</f>
        <v>459931</v>
      </c>
      <c r="AL58" s="372"/>
      <c r="AM58" s="372">
        <f>SUM(AM4:AM57)</f>
        <v>119488.37037037036</v>
      </c>
      <c r="AN58" s="372">
        <f>SUM(AN4:AN57)</f>
        <v>5686374</v>
      </c>
      <c r="AO58" s="372">
        <f>SUM(AO4:AO57)</f>
        <v>1639656.1851851852</v>
      </c>
      <c r="AP58" s="416"/>
      <c r="AQ58" s="371"/>
      <c r="AR58" s="527"/>
      <c r="AS58" s="527"/>
      <c r="AU58" s="534"/>
      <c r="AV58" s="534"/>
      <c r="AW58" s="534"/>
    </row>
    <row r="59" spans="1:70" customFormat="1" ht="13.5" customHeight="1">
      <c r="AP59" s="156"/>
      <c r="AR59" s="526"/>
      <c r="AS59" s="526"/>
      <c r="AU59" s="534"/>
      <c r="AV59" s="534"/>
      <c r="AW59" s="534"/>
    </row>
    <row r="60" spans="1:70" ht="13.5" customHeight="1">
      <c r="A60" s="310" t="s">
        <v>181</v>
      </c>
      <c r="B60" s="235"/>
      <c r="C60" s="235"/>
      <c r="D60" s="321">
        <v>0</v>
      </c>
      <c r="E60" s="382">
        <v>0</v>
      </c>
      <c r="F60" s="385">
        <v>0</v>
      </c>
      <c r="G60" s="321">
        <v>0</v>
      </c>
      <c r="H60" s="382">
        <v>0</v>
      </c>
      <c r="I60" s="385">
        <v>0</v>
      </c>
      <c r="J60" s="321">
        <v>0</v>
      </c>
      <c r="K60" s="382">
        <v>0</v>
      </c>
      <c r="L60" s="385">
        <v>0</v>
      </c>
      <c r="M60" s="321">
        <v>0</v>
      </c>
      <c r="N60" s="382">
        <v>0</v>
      </c>
      <c r="O60" s="385">
        <v>0</v>
      </c>
      <c r="P60" s="321">
        <v>0</v>
      </c>
      <c r="Q60" s="382">
        <v>0</v>
      </c>
      <c r="R60" s="385">
        <v>0</v>
      </c>
      <c r="S60" s="321">
        <v>0</v>
      </c>
      <c r="T60" s="382">
        <v>0</v>
      </c>
      <c r="U60" s="385">
        <v>0</v>
      </c>
      <c r="V60" s="321">
        <v>0</v>
      </c>
      <c r="W60" s="382">
        <v>0</v>
      </c>
      <c r="X60" s="385">
        <v>0</v>
      </c>
      <c r="Y60" s="321">
        <v>0</v>
      </c>
      <c r="Z60" s="382">
        <v>0</v>
      </c>
      <c r="AA60" s="385">
        <v>0</v>
      </c>
      <c r="AB60" s="321">
        <v>0</v>
      </c>
      <c r="AC60" s="382">
        <v>0</v>
      </c>
      <c r="AD60" s="385">
        <v>0</v>
      </c>
      <c r="AE60" s="321">
        <v>0</v>
      </c>
      <c r="AF60" s="382">
        <v>0</v>
      </c>
      <c r="AG60" s="385">
        <v>0</v>
      </c>
      <c r="AH60" s="321">
        <v>0</v>
      </c>
      <c r="AI60" s="382">
        <v>0</v>
      </c>
      <c r="AJ60" s="385">
        <v>0</v>
      </c>
      <c r="AK60" s="321">
        <v>0</v>
      </c>
      <c r="AL60" s="382">
        <v>0</v>
      </c>
      <c r="AM60" s="385">
        <v>0</v>
      </c>
      <c r="AN60" s="322">
        <v>0</v>
      </c>
      <c r="AO60" s="322">
        <v>0</v>
      </c>
      <c r="AP60" s="340"/>
      <c r="AQ60" s="341"/>
      <c r="AR60" t="inlineStr">
        <is>
          <t>Track 2-Secured</t>
        </is>
      </c>
      <c r="AS60" s="525"/>
      <c r="AU60" s="534"/>
      <c r="AV60" s="534"/>
      <c r="AW60" s="534"/>
    </row>
    <row r="61" spans="1:70" customFormat="1" ht="13.5" customHeight="1">
      <c r="AP61" s="156"/>
      <c r="AR61" s="528"/>
      <c r="AS61" s="525" t="s">
        <v>182</v>
      </c>
      <c r="AU61" s="534"/>
      <c r="AV61" s="534"/>
      <c r="AW61" s="534"/>
    </row>
    <row r="62" spans="1:70" customFormat="1" ht="13.5" customHeight="1">
      <c r="AP62" s="156"/>
      <c r="AR62" s="528"/>
      <c r="AS62" s="525" t="s">
        <v>182</v>
      </c>
      <c r="AU62" s="534"/>
      <c r="AV62" s="534"/>
      <c r="AW62" s="534"/>
    </row>
    <row r="63" spans="1:70" customFormat="1" ht="13.5" customHeight="1">
      <c r="A63" s="371" t="s">
        <v>183</v>
      </c>
      <c r="B63" s="371"/>
      <c r="C63" s="371"/>
      <c r="D63" s="372">
        <f t="shared" ref="D63:AN63" si="29">SUM(D61:D62)</f>
        <v>0</v>
      </c>
      <c r="E63" s="389"/>
      <c r="F63" s="390"/>
      <c r="G63" s="372">
        <f t="shared" si="29"/>
        <v>0</v>
      </c>
      <c r="H63" s="389"/>
      <c r="I63" s="390"/>
      <c r="J63" s="372">
        <f t="shared" si="29"/>
        <v>0</v>
      </c>
      <c r="K63" s="389"/>
      <c r="L63" s="390"/>
      <c r="M63" s="372">
        <f t="shared" si="29"/>
        <v>0</v>
      </c>
      <c r="N63" s="389"/>
      <c r="O63" s="390"/>
      <c r="P63" s="372">
        <f t="shared" si="29"/>
        <v>0</v>
      </c>
      <c r="Q63" s="389"/>
      <c r="R63" s="390"/>
      <c r="S63" s="372">
        <f t="shared" si="29"/>
        <v>0</v>
      </c>
      <c r="T63" s="389"/>
      <c r="U63" s="390"/>
      <c r="V63" s="372">
        <f t="shared" si="29"/>
        <v>0</v>
      </c>
      <c r="W63" s="389"/>
      <c r="X63" s="390"/>
      <c r="Y63" s="372">
        <f t="shared" si="29"/>
        <v>0</v>
      </c>
      <c r="Z63" s="389"/>
      <c r="AA63" s="390"/>
      <c r="AB63" s="372">
        <f t="shared" si="29"/>
        <v>0</v>
      </c>
      <c r="AC63" s="389"/>
      <c r="AD63" s="390"/>
      <c r="AE63" s="372">
        <f t="shared" si="29"/>
        <v>0</v>
      </c>
      <c r="AF63" s="389"/>
      <c r="AG63" s="390"/>
      <c r="AH63" s="372">
        <f t="shared" si="29"/>
        <v>0</v>
      </c>
      <c r="AI63" s="389"/>
      <c r="AJ63" s="390"/>
      <c r="AK63" s="372">
        <f t="shared" si="29"/>
        <v>0</v>
      </c>
      <c r="AL63" s="389"/>
      <c r="AM63" s="390"/>
      <c r="AN63" s="372">
        <f t="shared" si="29"/>
        <v>0</v>
      </c>
      <c r="AO63" s="372"/>
      <c r="AP63" s="416"/>
      <c r="AQ63" s="371"/>
      <c r="AR63" s="527"/>
      <c r="AS63" s="527"/>
      <c r="AU63" s="534"/>
      <c r="AV63" s="534"/>
      <c r="AW63" s="534"/>
    </row>
    <row r="64" spans="1:70" customFormat="1" ht="13.5" customHeight="1">
      <c r="AP64" s="156"/>
      <c r="AR64" s="526"/>
      <c r="AS64" s="526"/>
      <c r="AU64" s="534"/>
      <c r="AV64" s="534"/>
      <c r="AW64" s="534"/>
    </row>
    <row r="65" spans="1:70" s="260" customFormat="1" ht="13.5" customHeight="1">
      <c r="A65" s="255" t="s">
        <v>184</v>
      </c>
      <c r="B65" s="256"/>
      <c r="C65" s="256"/>
      <c r="D65" s="324">
        <f>+D58+D63</f>
        <v>442851</v>
      </c>
      <c r="E65" s="383"/>
      <c r="F65" s="386"/>
      <c r="G65" s="324">
        <f t="shared" ref="G65:AN65" si="30">+G58+G63</f>
        <v>431076</v>
      </c>
      <c r="H65" s="383"/>
      <c r="I65" s="386"/>
      <c r="J65" s="324">
        <f t="shared" si="30"/>
        <v>636198</v>
      </c>
      <c r="K65" s="383"/>
      <c r="L65" s="386"/>
      <c r="M65" s="324">
        <f t="shared" si="30"/>
        <v>465386</v>
      </c>
      <c r="N65" s="383"/>
      <c r="O65" s="386"/>
      <c r="P65" s="324">
        <f t="shared" si="30"/>
        <v>426791</v>
      </c>
      <c r="Q65" s="383"/>
      <c r="R65" s="386"/>
      <c r="S65" s="324">
        <f t="shared" si="30"/>
        <v>459706</v>
      </c>
      <c r="T65" s="383"/>
      <c r="U65" s="386"/>
      <c r="V65" s="324">
        <f t="shared" si="30"/>
        <v>420401</v>
      </c>
      <c r="W65" s="383"/>
      <c r="X65" s="386"/>
      <c r="Y65" s="324">
        <f t="shared" si="30"/>
        <v>432451</v>
      </c>
      <c r="Z65" s="383"/>
      <c r="AA65" s="386"/>
      <c r="AB65" s="324">
        <f t="shared" si="30"/>
        <v>584241</v>
      </c>
      <c r="AC65" s="383"/>
      <c r="AD65" s="386"/>
      <c r="AE65" s="324">
        <f t="shared" si="30"/>
        <v>480731</v>
      </c>
      <c r="AF65" s="383"/>
      <c r="AG65" s="386"/>
      <c r="AH65" s="324">
        <f t="shared" si="30"/>
        <v>446611</v>
      </c>
      <c r="AI65" s="383"/>
      <c r="AJ65" s="386"/>
      <c r="AK65" s="324">
        <f t="shared" si="30"/>
        <v>459931</v>
      </c>
      <c r="AL65" s="383"/>
      <c r="AM65" s="386"/>
      <c r="AN65" s="325">
        <f t="shared" si="30"/>
        <v>5686374</v>
      </c>
      <c r="AO65" s="322" cm="1">
        <f t="array" ref="AO65">SUMPRODUCT((D$1:AK$1="Margin")*D65:AK65)</f>
        <v>0</v>
      </c>
      <c r="AP65" s="340" t="s">
        <v>185</v>
      </c>
      <c r="AQ65" s="373"/>
      <c r="AR65" s="525"/>
      <c r="AS65" s="525"/>
      <c r="AT65"/>
      <c r="AU65" s="534"/>
      <c r="AV65" s="534"/>
      <c r="AW65" s="534"/>
      <c r="AX65"/>
      <c r="AY65"/>
      <c r="AZ65"/>
      <c r="BA65"/>
      <c r="BB65"/>
      <c r="BC65"/>
      <c r="BD65"/>
      <c r="BE65"/>
      <c r="BF65"/>
      <c r="BG65"/>
      <c r="BH65"/>
      <c r="BI65"/>
      <c r="BJ65"/>
      <c r="BK65"/>
      <c r="BL65"/>
      <c r="BM65"/>
      <c r="BN65"/>
      <c r="BO65"/>
      <c r="BP65"/>
      <c r="BQ65" s="157"/>
    </row>
    <row r="66" spans="1:70" customFormat="1" ht="13.5" customHeight="1">
      <c r="AP66" s="156"/>
      <c r="AR66" s="526"/>
      <c r="AS66" s="526"/>
      <c r="AU66" s="534"/>
      <c r="AV66" s="534"/>
      <c r="AW66" s="534"/>
    </row>
    <row r="67" spans="1:70" s="168" customFormat="1" ht="13.5" customHeight="1">
      <c r="A67" s="492" t="s">
        <v>186</v>
      </c>
      <c r="B67" s="493"/>
      <c r="C67" s="493"/>
      <c r="D67" s="494"/>
      <c r="E67" s="494"/>
      <c r="F67" s="494"/>
      <c r="G67" s="494"/>
      <c r="H67" s="494"/>
      <c r="I67" s="494"/>
      <c r="J67" s="494"/>
      <c r="K67" s="494"/>
      <c r="L67" s="494"/>
      <c r="M67" s="494"/>
      <c r="N67" s="494"/>
      <c r="O67" s="494"/>
      <c r="P67" s="494"/>
      <c r="Q67" s="494"/>
      <c r="R67" s="494"/>
      <c r="S67" s="494"/>
      <c r="T67" s="494"/>
      <c r="U67" s="494"/>
      <c r="V67" s="494"/>
      <c r="W67" s="494"/>
      <c r="X67" s="494"/>
      <c r="Y67" s="494"/>
      <c r="Z67" s="494"/>
      <c r="AA67" s="494"/>
      <c r="AB67" s="494"/>
      <c r="AC67" s="494"/>
      <c r="AD67" s="494"/>
      <c r="AE67" s="494"/>
      <c r="AF67" s="494"/>
      <c r="AG67" s="494"/>
      <c r="AH67" s="494"/>
      <c r="AI67" s="494"/>
      <c r="AJ67" s="494"/>
      <c r="AK67" s="494"/>
      <c r="AL67" s="494"/>
      <c r="AM67" s="494"/>
      <c r="AN67" s="495"/>
      <c r="AO67" s="495"/>
      <c r="AP67" s="496"/>
      <c r="AQ67" s="493"/>
      <c r="AR67" t="inlineStr">
        <is>
          <t>Track 1-Projections</t>
        </is>
      </c>
      <c r="AS67" s="525"/>
      <c r="AT67"/>
      <c r="AU67" s="534"/>
      <c r="AV67" s="534"/>
      <c r="AW67" s="534"/>
      <c r="AX67"/>
      <c r="AY67"/>
      <c r="AZ67"/>
      <c r="BA67"/>
      <c r="BB67"/>
      <c r="BC67"/>
      <c r="BD67"/>
      <c r="BE67"/>
      <c r="BF67"/>
      <c r="BG67"/>
      <c r="BH67"/>
      <c r="BI67"/>
      <c r="BJ67"/>
      <c r="BK67"/>
      <c r="BL67"/>
      <c r="BM67"/>
      <c r="BN67"/>
      <c r="BO67"/>
      <c r="BP67"/>
      <c r="BQ67" s="157"/>
    </row>
    <row r="68" spans="1:70" s="168" customFormat="1" ht="13.5" customHeight="1">
      <c r="A68" s="262" t="s">
        <v>187</v>
      </c>
      <c r="B68" s="262" t="s">
        <v>94</v>
      </c>
      <c r="C68" s="262" t="s">
        <v>101</v>
      </c>
      <c r="D68" s="326"/>
      <c r="E68" s="326"/>
      <c r="F68" s="326"/>
      <c r="G68" s="326"/>
      <c r="H68" s="326"/>
      <c r="I68" s="326"/>
      <c r="J68" s="326"/>
      <c r="K68" s="326"/>
      <c r="L68" s="326"/>
      <c r="M68" s="326"/>
      <c r="N68" s="326"/>
      <c r="O68" s="326"/>
      <c r="P68" s="326">
        <f>3500/2</f>
        <v>1750</v>
      </c>
      <c r="Q68" s="326">
        <v>900</v>
      </c>
      <c r="R68" s="326">
        <f>P68-Q68</f>
        <v>850</v>
      </c>
      <c r="S68" s="326"/>
      <c r="T68" s="326"/>
      <c r="U68" s="326"/>
      <c r="V68" s="326"/>
      <c r="W68" s="326"/>
      <c r="X68" s="326">
        <f t="shared" ref="X68" si="31">V68-W68</f>
        <v>0</v>
      </c>
      <c r="Y68" s="326">
        <f>3500</f>
        <v>3500</v>
      </c>
      <c r="Z68" s="326">
        <v>900</v>
      </c>
      <c r="AA68" s="326">
        <f t="shared" ref="AA68" si="32">Y68-Z68</f>
        <v>2600</v>
      </c>
      <c r="AB68" s="326">
        <f>3500</f>
        <v>3500</v>
      </c>
      <c r="AC68" s="326">
        <v>900</v>
      </c>
      <c r="AD68" s="326">
        <f t="shared" ref="AD68" si="33">AB68-AC68</f>
        <v>2600</v>
      </c>
      <c r="AE68" s="326">
        <f>3500</f>
        <v>3500</v>
      </c>
      <c r="AF68" s="326">
        <v>900</v>
      </c>
      <c r="AG68" s="326">
        <f t="shared" ref="AG68" si="34">AE68-AF68</f>
        <v>2600</v>
      </c>
      <c r="AH68" s="326">
        <f>3500</f>
        <v>3500</v>
      </c>
      <c r="AI68" s="326">
        <v>900</v>
      </c>
      <c r="AJ68" s="326">
        <f t="shared" ref="AJ68" si="35">AH68-AI68</f>
        <v>2600</v>
      </c>
      <c r="AK68" s="326">
        <f>3500</f>
        <v>3500</v>
      </c>
      <c r="AL68" s="326">
        <v>900</v>
      </c>
      <c r="AM68" s="326">
        <f t="shared" ref="AM68" si="36">AK68-AL68</f>
        <v>2600</v>
      </c>
      <c r="AN68" s="326" cm="1">
        <f t="array" ref="AN68">SUMPRODUCT((D$1:AK$1&lt;&gt;"Margin")*(D$1:AK$1&lt;&gt;"Salary_$600")*D68:AK68)</f>
        <v>19250</v>
      </c>
      <c r="AO68" s="326" cm="1">
        <f t="array" ref="AO68">SUMPRODUCT((D$1:AK$1="Margin")*D68:AK68)</f>
        <v>11250</v>
      </c>
      <c r="AP68" s="264" t="s">
        <v>188</v>
      </c>
      <c r="AQ68" s="265" t="s">
        <v>189</v>
      </c>
      <c r="AR68" s="529" t="s">
        <v>131</v>
      </c>
      <c r="AS68" s="525" t="s">
        <v>190</v>
      </c>
      <c r="AT68"/>
      <c r="AU68" s="534"/>
      <c r="AV68" s="534"/>
      <c r="AW68" s="534"/>
      <c r="AX68"/>
      <c r="AY68"/>
      <c r="AZ68"/>
      <c r="BA68"/>
      <c r="BB68"/>
      <c r="BC68"/>
      <c r="BD68"/>
      <c r="BE68"/>
      <c r="BF68"/>
      <c r="BG68"/>
      <c r="BH68"/>
      <c r="BI68"/>
      <c r="BJ68"/>
      <c r="BK68"/>
      <c r="BL68"/>
      <c r="BM68"/>
      <c r="BN68"/>
      <c r="BO68"/>
      <c r="BP68"/>
      <c r="BQ68" s="157"/>
      <c r="BR68" s="167"/>
    </row>
    <row r="69" spans="1:70" s="168" customFormat="1" ht="13.5" customHeight="1">
      <c r="A69" s="262" t="s">
        <v>191</v>
      </c>
      <c r="B69" s="262" t="s">
        <v>82</v>
      </c>
      <c r="C69" s="262"/>
      <c r="D69" s="326"/>
      <c r="E69" s="326"/>
      <c r="F69" s="326"/>
      <c r="G69" s="326"/>
      <c r="H69" s="326"/>
      <c r="I69" s="326"/>
      <c r="J69" s="326"/>
      <c r="K69" s="326"/>
      <c r="L69" s="326"/>
      <c r="M69" s="326"/>
      <c r="N69" s="326"/>
      <c r="O69" s="326"/>
      <c r="P69" s="326"/>
      <c r="Q69" s="326"/>
      <c r="R69" s="326"/>
      <c r="S69" s="326"/>
      <c r="T69" s="326">
        <f>V69/4</f>
        <v>4600</v>
      </c>
      <c r="U69" s="326">
        <f>S69-T69</f>
        <v>-4600</v>
      </c>
      <c r="V69" s="326">
        <v>18400</v>
      </c>
      <c r="W69" s="326">
        <f>V69/4</f>
        <v>4600</v>
      </c>
      <c r="X69" s="326">
        <f>V69-W69</f>
        <v>13800</v>
      </c>
      <c r="Y69" s="326">
        <v>2700</v>
      </c>
      <c r="Z69" s="326">
        <f>Y69/2</f>
        <v>1350</v>
      </c>
      <c r="AA69" s="326">
        <f>Y69-Z69</f>
        <v>1350</v>
      </c>
      <c r="AB69" s="326">
        <v>2700</v>
      </c>
      <c r="AC69" s="326">
        <f>AB69/2</f>
        <v>1350</v>
      </c>
      <c r="AD69" s="326">
        <f>AB69-AC69</f>
        <v>1350</v>
      </c>
      <c r="AE69" s="326">
        <v>2700</v>
      </c>
      <c r="AF69" s="326">
        <f>AE69/2</f>
        <v>1350</v>
      </c>
      <c r="AG69" s="326">
        <f>AE69-AF69</f>
        <v>1350</v>
      </c>
      <c r="AH69" s="326">
        <v>2700</v>
      </c>
      <c r="AI69" s="326">
        <f>AH69/2</f>
        <v>1350</v>
      </c>
      <c r="AJ69" s="326">
        <f>AH69-AI69</f>
        <v>1350</v>
      </c>
      <c r="AK69" s="326">
        <v>2700</v>
      </c>
      <c r="AL69" s="326">
        <f>AK69/2</f>
        <v>1350</v>
      </c>
      <c r="AM69" s="326">
        <f>AK69-AL69</f>
        <v>1350</v>
      </c>
      <c r="AN69" s="326" cm="1">
        <f t="array" ref="AN69">SUMPRODUCT((D$1:AK$1&lt;&gt;"Margin")*(D$1:AK$1&lt;&gt;"Salary_$600")*D69:AK69)</f>
        <v>31900</v>
      </c>
      <c r="AO69" s="326" cm="1">
        <f t="array" ref="AO69">SUMPRODUCT((D$1:AK$1="Margin")*D69:AK69)</f>
        <v>14600</v>
      </c>
      <c r="AP69" s="264" t="s">
        <v>188</v>
      </c>
      <c r="AQ69" s="265" t="s">
        <v>127</v>
      </c>
      <c r="AR69" s="525" t="s">
        <v>125</v>
      </c>
      <c r="AS69" s="525" t="s">
        <v>190</v>
      </c>
      <c r="AT69"/>
      <c r="AU69" s="534"/>
      <c r="AV69" s="534"/>
      <c r="AW69" s="534"/>
      <c r="AX69"/>
      <c r="AY69"/>
      <c r="AZ69"/>
      <c r="BA69"/>
      <c r="BB69"/>
      <c r="BC69"/>
      <c r="BD69"/>
      <c r="BE69"/>
      <c r="BF69"/>
      <c r="BG69"/>
      <c r="BH69"/>
      <c r="BI69"/>
      <c r="BJ69"/>
      <c r="BK69"/>
      <c r="BL69"/>
      <c r="BM69"/>
      <c r="BN69"/>
      <c r="BO69"/>
      <c r="BP69"/>
      <c r="BQ69" s="157"/>
      <c r="BR69" s="167"/>
    </row>
    <row r="70" spans="1:70" s="168" customFormat="1" ht="13.5" customHeight="1">
      <c r="A70" s="538" t="s">
        <v>192</v>
      </c>
      <c r="B70" s="262" t="s">
        <v>94</v>
      </c>
      <c r="C70" s="262" t="s">
        <v>101</v>
      </c>
      <c r="D70" s="326"/>
      <c r="E70" s="326"/>
      <c r="F70" s="326"/>
      <c r="G70" s="326"/>
      <c r="H70" s="326"/>
      <c r="I70" s="326"/>
      <c r="J70" s="326"/>
      <c r="K70" s="326"/>
      <c r="L70" s="326"/>
      <c r="M70" s="326"/>
      <c r="N70" s="326"/>
      <c r="O70" s="326"/>
      <c r="P70" s="326"/>
      <c r="Q70" s="326"/>
      <c r="R70" s="326"/>
      <c r="S70" s="326"/>
      <c r="T70" s="326"/>
      <c r="U70" s="326"/>
      <c r="V70" s="326">
        <v>5500</v>
      </c>
      <c r="W70" s="326">
        <v>4000</v>
      </c>
      <c r="X70" s="326">
        <f t="shared" ref="X70" si="37">V70-W70</f>
        <v>1500</v>
      </c>
      <c r="Y70" s="326">
        <v>5500</v>
      </c>
      <c r="Z70" s="326">
        <v>4000</v>
      </c>
      <c r="AA70" s="326">
        <f t="shared" ref="AA70" si="38">Y70-Z70</f>
        <v>1500</v>
      </c>
      <c r="AB70" s="326">
        <v>5500</v>
      </c>
      <c r="AC70" s="326">
        <v>4000</v>
      </c>
      <c r="AD70" s="326">
        <f t="shared" ref="AD70" si="39">AB70-AC70</f>
        <v>1500</v>
      </c>
      <c r="AE70" s="326">
        <v>5500</v>
      </c>
      <c r="AF70" s="326">
        <v>4000</v>
      </c>
      <c r="AG70" s="326">
        <f t="shared" ref="AG70" si="40">AE70-AF70</f>
        <v>1500</v>
      </c>
      <c r="AH70" s="326">
        <v>5500</v>
      </c>
      <c r="AI70" s="326">
        <v>4000</v>
      </c>
      <c r="AJ70" s="326">
        <f t="shared" ref="AJ70" si="41">AH70-AI70</f>
        <v>1500</v>
      </c>
      <c r="AK70" s="326">
        <v>5500</v>
      </c>
      <c r="AL70" s="326">
        <v>4000</v>
      </c>
      <c r="AM70" s="326">
        <f t="shared" ref="AM70" si="42">AK70-AL70</f>
        <v>1500</v>
      </c>
      <c r="AN70" s="326" cm="1">
        <f t="array" ref="AN70">SUMPRODUCT((D$1:AK$1&lt;&gt;"Margin")*(D$1:AK$1&lt;&gt;"Salary_$600")*D70:AK70)</f>
        <v>33000</v>
      </c>
      <c r="AO70" s="326" cm="1">
        <f t="array" ref="AO70">SUMPRODUCT((D$1:AK$1="Margin")*D70:AK70)</f>
        <v>7500</v>
      </c>
      <c r="AP70" s="264" t="s">
        <v>193</v>
      </c>
      <c r="AQ70" s="265" t="s">
        <v>189</v>
      </c>
      <c r="AR70" s="529" t="s">
        <v>131</v>
      </c>
      <c r="AS70" s="525" t="s">
        <v>190</v>
      </c>
      <c r="AT70"/>
      <c r="AU70" s="534"/>
      <c r="AV70" s="534"/>
      <c r="AW70" s="534"/>
      <c r="AX70"/>
      <c r="AY70"/>
      <c r="AZ70"/>
      <c r="BA70"/>
      <c r="BB70"/>
      <c r="BC70"/>
      <c r="BD70"/>
      <c r="BE70"/>
      <c r="BF70"/>
      <c r="BG70"/>
      <c r="BH70"/>
      <c r="BI70"/>
      <c r="BJ70"/>
      <c r="BK70"/>
      <c r="BL70"/>
      <c r="BM70"/>
      <c r="BN70"/>
      <c r="BO70"/>
      <c r="BP70"/>
      <c r="BQ70" s="157"/>
      <c r="BR70" s="167"/>
    </row>
    <row r="71" spans="1:70" s="391" customFormat="1" ht="13.5" customHeight="1">
      <c r="A71" s="262" t="s">
        <v>194</v>
      </c>
      <c r="B71" s="262" t="s">
        <v>82</v>
      </c>
      <c r="C71" s="262" t="s">
        <v>101</v>
      </c>
      <c r="D71" s="262">
        <v>0</v>
      </c>
      <c r="E71" s="262"/>
      <c r="F71" s="262">
        <f t="shared" ref="F71:F72" si="43">D71*0.3</f>
        <v>0</v>
      </c>
      <c r="G71" s="262">
        <v>0</v>
      </c>
      <c r="H71" s="262"/>
      <c r="I71" s="262">
        <f t="shared" ref="I71:I72" si="44">G71*0.3</f>
        <v>0</v>
      </c>
      <c r="J71" s="262">
        <v>0</v>
      </c>
      <c r="K71" s="262"/>
      <c r="L71" s="262">
        <f t="shared" ref="L71:L72" si="45">J71*0.3</f>
        <v>0</v>
      </c>
      <c r="M71" s="262">
        <v>0</v>
      </c>
      <c r="N71" s="262"/>
      <c r="O71" s="262">
        <f t="shared" ref="O71:O72" si="46">M71*0.3</f>
        <v>0</v>
      </c>
      <c r="P71" s="262">
        <v>0</v>
      </c>
      <c r="Q71" s="262"/>
      <c r="R71" s="262">
        <f t="shared" ref="R71:R72" si="47">P71*0.3</f>
        <v>0</v>
      </c>
      <c r="S71" s="262">
        <v>75000</v>
      </c>
      <c r="T71" s="262"/>
      <c r="U71" s="262">
        <f t="shared" ref="U71:U72" si="48">S71*0.3</f>
        <v>22500</v>
      </c>
      <c r="V71" s="262">
        <v>0</v>
      </c>
      <c r="W71" s="262"/>
      <c r="X71" s="262">
        <f t="shared" ref="X71:X72" si="49">V71*0.3</f>
        <v>0</v>
      </c>
      <c r="Y71" s="262">
        <v>0</v>
      </c>
      <c r="Z71" s="262"/>
      <c r="AA71" s="262">
        <f t="shared" ref="AA71:AA72" si="50">Y71*0.3</f>
        <v>0</v>
      </c>
      <c r="AB71" s="262">
        <v>0</v>
      </c>
      <c r="AC71" s="262"/>
      <c r="AD71" s="262">
        <f t="shared" ref="AD71:AD72" si="51">AB71*0.3</f>
        <v>0</v>
      </c>
      <c r="AE71" s="262">
        <v>75000</v>
      </c>
      <c r="AF71" s="262"/>
      <c r="AG71" s="262">
        <f t="shared" ref="AG71:AG72" si="52">AE71*0.3</f>
        <v>22500</v>
      </c>
      <c r="AH71" s="262">
        <v>0</v>
      </c>
      <c r="AI71" s="262"/>
      <c r="AJ71" s="262">
        <f t="shared" ref="AJ71:AJ72" si="53">AH71*0.3</f>
        <v>0</v>
      </c>
      <c r="AK71" s="262">
        <v>0</v>
      </c>
      <c r="AL71" s="262"/>
      <c r="AM71" s="262">
        <f t="shared" ref="AM71:AM72" si="54">AK71*0.3</f>
        <v>0</v>
      </c>
      <c r="AN71" s="326" cm="1">
        <f t="array" ref="AN71">SUMPRODUCT((D$1:AK$1&lt;&gt;"Margin")*(D$1:AK$1&lt;&gt;"Salary_$600")*D71:AK71)</f>
        <v>150000</v>
      </c>
      <c r="AO71" s="326" cm="1">
        <f t="array" ref="AO71">SUMPRODUCT((D$1:AK$1="Margin")*D71:AK71)</f>
        <v>45000</v>
      </c>
      <c r="AP71" s="417"/>
      <c r="AQ71" s="399" t="s">
        <v>189</v>
      </c>
      <c r="AR71" s="529" t="s">
        <v>125</v>
      </c>
      <c r="AS71" s="525" t="s">
        <v>190</v>
      </c>
      <c r="AT71" s="532"/>
      <c r="AU71" s="536"/>
      <c r="AV71" s="536"/>
      <c r="AW71" s="536"/>
      <c r="AX71" s="533"/>
      <c r="AY71" s="262"/>
      <c r="AZ71" s="262"/>
      <c r="BA71" s="262"/>
      <c r="BB71" s="262"/>
      <c r="BC71" s="262"/>
      <c r="BD71" s="262"/>
      <c r="BE71" s="262"/>
      <c r="BF71" s="262"/>
      <c r="BG71" s="262"/>
      <c r="BH71" s="262"/>
      <c r="BI71" s="262"/>
      <c r="BJ71" s="262"/>
      <c r="BK71" s="262"/>
      <c r="BL71" s="262"/>
      <c r="BM71" s="262"/>
      <c r="BN71" s="262"/>
      <c r="BO71" s="262"/>
      <c r="BP71" s="262"/>
      <c r="BQ71" s="262"/>
      <c r="BR71" s="262"/>
    </row>
    <row r="72" spans="1:70" ht="13.5" customHeight="1">
      <c r="A72" s="538" t="s">
        <v>195</v>
      </c>
      <c r="B72" s="262" t="s">
        <v>94</v>
      </c>
      <c r="C72" s="262" t="s">
        <v>101</v>
      </c>
      <c r="D72" s="326">
        <v>0</v>
      </c>
      <c r="E72" s="326"/>
      <c r="F72" s="326">
        <f t="shared" si="43"/>
        <v>0</v>
      </c>
      <c r="G72" s="326">
        <v>0</v>
      </c>
      <c r="H72" s="326"/>
      <c r="I72" s="326">
        <f t="shared" si="44"/>
        <v>0</v>
      </c>
      <c r="J72" s="326"/>
      <c r="K72" s="326"/>
      <c r="L72" s="326">
        <f t="shared" si="45"/>
        <v>0</v>
      </c>
      <c r="M72" s="326">
        <v>0</v>
      </c>
      <c r="N72" s="326"/>
      <c r="O72" s="326">
        <f t="shared" si="46"/>
        <v>0</v>
      </c>
      <c r="P72" s="326">
        <v>0</v>
      </c>
      <c r="Q72" s="326"/>
      <c r="R72" s="326">
        <f t="shared" si="47"/>
        <v>0</v>
      </c>
      <c r="S72" s="326"/>
      <c r="T72" s="326"/>
      <c r="U72" s="326"/>
      <c r="V72" s="326">
        <v>0</v>
      </c>
      <c r="W72" s="326"/>
      <c r="X72" s="326">
        <f t="shared" si="49"/>
        <v>0</v>
      </c>
      <c r="Y72" s="326">
        <v>0</v>
      </c>
      <c r="Z72" s="326"/>
      <c r="AA72" s="326">
        <f t="shared" si="50"/>
        <v>0</v>
      </c>
      <c r="AB72" s="326"/>
      <c r="AC72" s="326"/>
      <c r="AD72" s="326">
        <f t="shared" si="51"/>
        <v>0</v>
      </c>
      <c r="AE72" s="326">
        <v>0</v>
      </c>
      <c r="AF72" s="326"/>
      <c r="AG72" s="326">
        <f t="shared" si="52"/>
        <v>0</v>
      </c>
      <c r="AH72" s="326">
        <v>0</v>
      </c>
      <c r="AI72" s="326"/>
      <c r="AJ72" s="326">
        <f t="shared" si="53"/>
        <v>0</v>
      </c>
      <c r="AK72" s="326"/>
      <c r="AL72" s="326"/>
      <c r="AM72" s="326">
        <f t="shared" si="54"/>
        <v>0</v>
      </c>
      <c r="AN72" s="326" cm="1">
        <f t="array" ref="AN72">SUMPRODUCT((D$1:AK$1&lt;&gt;"Margin")*(D$1:AK$1&lt;&gt;"Salary_$600")*D72:AK72)</f>
        <v>0</v>
      </c>
      <c r="AO72" s="326" cm="1">
        <f t="array" ref="AO72">SUMPRODUCT((D$1:AK$1="Margin")*D72:AK72)</f>
        <v>0</v>
      </c>
      <c r="AP72" s="264"/>
      <c r="AQ72" s="266" t="s">
        <v>189</v>
      </c>
      <c r="AR72" s="529" t="s">
        <v>52</v>
      </c>
      <c r="AS72" s="525" t="s">
        <v>190</v>
      </c>
      <c r="AU72" s="534"/>
      <c r="AV72" s="534"/>
      <c r="AW72" s="534"/>
    </row>
    <row r="73" spans="1:70" s="4" customFormat="1" ht="13.5" customHeight="1">
      <c r="A73" s="262" t="s">
        <v>196</v>
      </c>
      <c r="B73" s="262" t="s">
        <v>94</v>
      </c>
      <c r="C73" s="262" t="s">
        <v>101</v>
      </c>
      <c r="D73" s="326">
        <v>0</v>
      </c>
      <c r="E73" s="326"/>
      <c r="F73" s="326">
        <v>0</v>
      </c>
      <c r="G73" s="326">
        <v>0</v>
      </c>
      <c r="H73" s="326"/>
      <c r="I73" s="326">
        <v>0</v>
      </c>
      <c r="J73" s="326">
        <v>0</v>
      </c>
      <c r="K73" s="326"/>
      <c r="L73" s="326">
        <v>0</v>
      </c>
      <c r="M73" s="326">
        <v>0</v>
      </c>
      <c r="N73" s="326"/>
      <c r="O73" s="326">
        <v>0</v>
      </c>
      <c r="P73" s="326">
        <v>0</v>
      </c>
      <c r="Q73" s="326"/>
      <c r="R73" s="326">
        <v>0</v>
      </c>
      <c r="S73" s="326">
        <v>35000</v>
      </c>
      <c r="T73" s="326">
        <f>S73*0.6</f>
        <v>21000</v>
      </c>
      <c r="U73" s="326">
        <f>S73-T73</f>
        <v>14000</v>
      </c>
      <c r="V73" s="326">
        <v>35000</v>
      </c>
      <c r="W73" s="326">
        <f t="shared" ref="W73:AG73" si="55">V73*0.6</f>
        <v>21000</v>
      </c>
      <c r="X73" s="326">
        <f t="shared" ref="X73" si="56">V73-W73</f>
        <v>14000</v>
      </c>
      <c r="Y73" s="326">
        <v>35000</v>
      </c>
      <c r="Z73" s="326">
        <f t="shared" ref="Z73:AG73" si="57">Y73*0.6</f>
        <v>21000</v>
      </c>
      <c r="AA73" s="326">
        <f t="shared" ref="AA73" si="58">Y73-Z73</f>
        <v>14000</v>
      </c>
      <c r="AB73" s="326">
        <v>35000</v>
      </c>
      <c r="AC73" s="326">
        <f t="shared" ref="AC73:AG73" si="59">AB73*0.6</f>
        <v>21000</v>
      </c>
      <c r="AD73" s="326">
        <f t="shared" ref="AD73" si="60">AB73-AC73</f>
        <v>14000</v>
      </c>
      <c r="AE73" s="326">
        <v>40000</v>
      </c>
      <c r="AF73" s="326">
        <f t="shared" ref="AF73:AG73" si="61">AE73*0.6</f>
        <v>24000</v>
      </c>
      <c r="AG73" s="326">
        <f t="shared" ref="AG73" si="62">AE73-AF73</f>
        <v>16000</v>
      </c>
      <c r="AH73" s="326">
        <v>0</v>
      </c>
      <c r="AI73" s="326"/>
      <c r="AJ73" s="326">
        <v>0</v>
      </c>
      <c r="AK73" s="326">
        <v>0</v>
      </c>
      <c r="AL73" s="326"/>
      <c r="AM73" s="326">
        <v>0</v>
      </c>
      <c r="AN73" s="326" cm="1">
        <f t="array" ref="AN73">SUMPRODUCT((D$1:AK$1&lt;&gt;"Margin")*(D$1:AK$1&lt;&gt;"Salary_$600")*D73:AK73)</f>
        <v>180000</v>
      </c>
      <c r="AO73" s="326" cm="1">
        <f t="array" ref="AO73">SUMPRODUCT((D$1:AK$1="Margin")*D73:AK73)</f>
        <v>72000</v>
      </c>
      <c r="AP73" s="264" t="s">
        <v>188</v>
      </c>
      <c r="AQ73" s="266"/>
      <c r="AR73" s="528" t="s">
        <v>102</v>
      </c>
      <c r="AS73" s="525" t="s">
        <v>190</v>
      </c>
      <c r="AT73"/>
      <c r="AU73" s="534"/>
      <c r="AV73" s="534"/>
      <c r="AW73" s="534"/>
      <c r="AX73"/>
      <c r="AY73"/>
      <c r="AZ73"/>
      <c r="BA73"/>
      <c r="BB73"/>
      <c r="BC73"/>
      <c r="BD73"/>
      <c r="BE73"/>
      <c r="BF73"/>
      <c r="BG73"/>
      <c r="BH73"/>
      <c r="BI73"/>
      <c r="BJ73"/>
      <c r="BK73"/>
      <c r="BL73"/>
      <c r="BM73"/>
      <c r="BN73"/>
      <c r="BO73"/>
      <c r="BP73"/>
      <c r="BQ73"/>
    </row>
    <row r="74" spans="1:70" customFormat="1" ht="13.5" customHeight="1">
      <c r="D74" s="506">
        <f>SUM(D68:D73)</f>
        <v>0</v>
      </c>
      <c r="G74" s="506">
        <f>SUM(G68:G73)</f>
        <v>0</v>
      </c>
      <c r="J74" s="506">
        <f>SUM(J68:J73)</f>
        <v>0</v>
      </c>
      <c r="M74" s="506">
        <f>SUM(M68:M73)</f>
        <v>0</v>
      </c>
      <c r="P74" s="506">
        <f>SUM(P68:P73)</f>
        <v>1750</v>
      </c>
      <c r="S74" s="506">
        <f>SUM(S68:S73)</f>
        <v>110000</v>
      </c>
      <c r="V74" s="506">
        <f>SUM(V68:V73)</f>
        <v>58900</v>
      </c>
      <c r="Y74" s="506">
        <f>SUM(Y68:Y73)</f>
        <v>46700</v>
      </c>
      <c r="AB74" s="506">
        <f>SUM(AB68:AB73)</f>
        <v>46700</v>
      </c>
      <c r="AE74" s="506">
        <f>SUM(AE68:AE73)</f>
        <v>126700</v>
      </c>
      <c r="AH74" s="506">
        <f>SUM(AH68:AH73)</f>
        <v>11700</v>
      </c>
      <c r="AK74" s="506">
        <f>SUM(AK68:AK73)</f>
        <v>11700</v>
      </c>
      <c r="AN74" s="370">
        <f>SUM(AN68:AN72)</f>
        <v>234150</v>
      </c>
      <c r="AO74" s="370"/>
      <c r="AP74" s="156"/>
      <c r="AR74" s="526"/>
      <c r="AS74" s="526"/>
      <c r="AU74" s="534"/>
      <c r="AV74" s="534"/>
      <c r="AW74" s="534"/>
    </row>
    <row r="75" spans="1:70" ht="13.5" customHeight="1">
      <c r="A75" s="362" t="s">
        <v>197</v>
      </c>
      <c r="B75" s="172"/>
      <c r="C75" s="172"/>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339"/>
      <c r="AH75" s="339"/>
      <c r="AI75" s="339"/>
      <c r="AJ75" s="339"/>
      <c r="AK75" s="339"/>
      <c r="AL75" s="339"/>
      <c r="AM75" s="339"/>
      <c r="AN75" s="339"/>
      <c r="AO75" s="339"/>
      <c r="AP75" s="340"/>
      <c r="AQ75" s="341"/>
      <c r="AR75" t="inlineStr">
        <is>
          <t>Track 2-Projections</t>
        </is>
      </c>
      <c r="AS75" s="525"/>
      <c r="AU75" s="534"/>
      <c r="AV75" s="534"/>
      <c r="AW75" s="534"/>
    </row>
    <row r="76" spans="1:70" ht="13.5" customHeight="1">
      <c r="A76" s="262" t="s">
        <v>198</v>
      </c>
      <c r="B76" s="262" t="s">
        <v>199</v>
      </c>
      <c r="C76" s="262" t="s">
        <v>95</v>
      </c>
      <c r="D76" s="326">
        <v>0</v>
      </c>
      <c r="E76" s="326"/>
      <c r="F76" s="326">
        <f t="shared" ref="F76:F89" si="63">D76*0.3</f>
        <v>0</v>
      </c>
      <c r="G76" s="326">
        <v>0</v>
      </c>
      <c r="H76" s="326"/>
      <c r="I76" s="326">
        <f t="shared" ref="I76:I89" si="64">G76*0.3</f>
        <v>0</v>
      </c>
      <c r="J76" s="326">
        <v>0</v>
      </c>
      <c r="K76" s="326"/>
      <c r="L76" s="326">
        <f t="shared" ref="L76:L89" si="65">J76*0.3</f>
        <v>0</v>
      </c>
      <c r="M76" s="326">
        <v>0</v>
      </c>
      <c r="N76" s="326"/>
      <c r="O76" s="326">
        <f t="shared" ref="O76:O89" si="66">M76*0.3</f>
        <v>0</v>
      </c>
      <c r="P76" s="326">
        <v>0</v>
      </c>
      <c r="Q76" s="326"/>
      <c r="R76" s="326">
        <f t="shared" ref="R76:R89" si="67">P76*0.3</f>
        <v>0</v>
      </c>
      <c r="S76" s="326">
        <v>300000</v>
      </c>
      <c r="T76" s="326"/>
      <c r="U76" s="326">
        <f t="shared" ref="U76:U89" si="68">S76*0.3</f>
        <v>90000</v>
      </c>
      <c r="V76" s="326">
        <v>0</v>
      </c>
      <c r="W76" s="326"/>
      <c r="X76" s="326">
        <f t="shared" ref="X76:X89" si="69">V76*0.3</f>
        <v>0</v>
      </c>
      <c r="Y76" s="326">
        <v>0</v>
      </c>
      <c r="Z76" s="326"/>
      <c r="AA76" s="326">
        <f t="shared" ref="AA76:AA89" si="70">Y76*0.3</f>
        <v>0</v>
      </c>
      <c r="AB76" s="326">
        <v>0</v>
      </c>
      <c r="AC76" s="326"/>
      <c r="AD76" s="326">
        <f t="shared" ref="AD76:AD89" si="71">AB76*0.3</f>
        <v>0</v>
      </c>
      <c r="AE76" s="326">
        <v>0</v>
      </c>
      <c r="AF76" s="326"/>
      <c r="AG76" s="326">
        <f t="shared" ref="AG76:AG89" si="72">AE76*0.3</f>
        <v>0</v>
      </c>
      <c r="AH76" s="326">
        <v>0</v>
      </c>
      <c r="AI76" s="326"/>
      <c r="AJ76" s="326">
        <f t="shared" ref="AJ76:AJ89" si="73">AH76*0.3</f>
        <v>0</v>
      </c>
      <c r="AK76" s="326">
        <v>0</v>
      </c>
      <c r="AL76" s="326"/>
      <c r="AM76" s="326">
        <f t="shared" ref="AM76:AM89" si="74">AK76*0.3</f>
        <v>0</v>
      </c>
      <c r="AN76" s="326" cm="1">
        <f t="array" ref="AN76">SUMPRODUCT((D$1:AK$1&lt;&gt;"Margin")*(D$1:AK$1&lt;&gt;"Salary_$600")*D76:AK76)</f>
        <v>300000</v>
      </c>
      <c r="AO76" s="326" cm="1">
        <f t="array" ref="AO76">SUMPRODUCT((D$1:AK$1="Margin")*D76:AK76)</f>
        <v>90000</v>
      </c>
      <c r="AP76" s="417" t="s">
        <v>200</v>
      </c>
      <c r="AQ76" s="265" t="s">
        <v>120</v>
      </c>
      <c r="AR76" s="525" t="s">
        <v>201</v>
      </c>
      <c r="AS76" s="525" t="s">
        <v>202</v>
      </c>
      <c r="AU76" s="534"/>
      <c r="AV76" s="534"/>
      <c r="AW76" s="534"/>
    </row>
    <row r="77" spans="1:70" ht="13.5" customHeight="1">
      <c r="A77" s="262" t="s">
        <v>203</v>
      </c>
      <c r="B77" s="262" t="s">
        <v>204</v>
      </c>
      <c r="C77" s="262" t="s">
        <v>95</v>
      </c>
      <c r="D77" s="326">
        <v>0</v>
      </c>
      <c r="E77" s="326"/>
      <c r="F77" s="326">
        <f t="shared" si="63"/>
        <v>0</v>
      </c>
      <c r="G77" s="326">
        <v>0</v>
      </c>
      <c r="H77" s="326"/>
      <c r="I77" s="326">
        <f t="shared" si="64"/>
        <v>0</v>
      </c>
      <c r="J77" s="326">
        <v>0</v>
      </c>
      <c r="K77" s="326"/>
      <c r="L77" s="326">
        <f t="shared" si="65"/>
        <v>0</v>
      </c>
      <c r="M77" s="326">
        <v>0</v>
      </c>
      <c r="N77" s="326"/>
      <c r="O77" s="326">
        <f t="shared" si="66"/>
        <v>0</v>
      </c>
      <c r="P77" s="326">
        <v>0</v>
      </c>
      <c r="Q77" s="326"/>
      <c r="R77" s="326">
        <f t="shared" si="67"/>
        <v>0</v>
      </c>
      <c r="S77" s="326">
        <v>200000</v>
      </c>
      <c r="T77" s="326"/>
      <c r="U77" s="326">
        <f t="shared" si="68"/>
        <v>60000</v>
      </c>
      <c r="V77" s="326">
        <v>0</v>
      </c>
      <c r="W77" s="326"/>
      <c r="X77" s="326">
        <f t="shared" si="69"/>
        <v>0</v>
      </c>
      <c r="Y77" s="326">
        <v>0</v>
      </c>
      <c r="Z77" s="326"/>
      <c r="AA77" s="326">
        <f t="shared" si="70"/>
        <v>0</v>
      </c>
      <c r="AB77" s="326">
        <v>0</v>
      </c>
      <c r="AC77" s="326"/>
      <c r="AD77" s="326">
        <f t="shared" si="71"/>
        <v>0</v>
      </c>
      <c r="AE77" s="326">
        <v>0</v>
      </c>
      <c r="AF77" s="326"/>
      <c r="AG77" s="326">
        <f t="shared" si="72"/>
        <v>0</v>
      </c>
      <c r="AH77" s="326">
        <v>0</v>
      </c>
      <c r="AI77" s="326"/>
      <c r="AJ77" s="326">
        <f t="shared" si="73"/>
        <v>0</v>
      </c>
      <c r="AK77" s="326">
        <v>0</v>
      </c>
      <c r="AL77" s="326"/>
      <c r="AM77" s="326">
        <f t="shared" si="74"/>
        <v>0</v>
      </c>
      <c r="AN77" s="326" cm="1">
        <f t="array" ref="AN77">SUMPRODUCT((D$1:AK$1&lt;&gt;"Margin")*(D$1:AK$1&lt;&gt;"Salary_$600")*D77:AK77)</f>
        <v>200000</v>
      </c>
      <c r="AO77" s="326" cm="1">
        <f t="array" ref="AO77">SUMPRODUCT((D$1:AK$1="Margin")*D77:AK77)</f>
        <v>60000</v>
      </c>
      <c r="AP77" s="417" t="s">
        <v>205</v>
      </c>
      <c r="AQ77" s="266" t="s">
        <v>206</v>
      </c>
      <c r="AR77" s="525" t="s">
        <v>203</v>
      </c>
      <c r="AS77" s="525" t="s">
        <v>202</v>
      </c>
      <c r="AU77" s="534"/>
      <c r="AV77" s="534"/>
      <c r="AW77" s="534"/>
    </row>
    <row r="78" spans="1:70" ht="13.5" customHeight="1">
      <c r="A78" s="262" t="s">
        <v>207</v>
      </c>
      <c r="B78" s="262" t="s">
        <v>208</v>
      </c>
      <c r="C78" s="262" t="s">
        <v>101</v>
      </c>
      <c r="D78" s="326">
        <v>0</v>
      </c>
      <c r="E78" s="326"/>
      <c r="F78" s="326">
        <f t="shared" si="63"/>
        <v>0</v>
      </c>
      <c r="G78" s="326">
        <v>0</v>
      </c>
      <c r="H78" s="326"/>
      <c r="I78" s="326">
        <f t="shared" si="64"/>
        <v>0</v>
      </c>
      <c r="J78" s="326">
        <v>0</v>
      </c>
      <c r="K78" s="326"/>
      <c r="L78" s="326">
        <f t="shared" si="65"/>
        <v>0</v>
      </c>
      <c r="M78" s="326">
        <v>0</v>
      </c>
      <c r="N78" s="326"/>
      <c r="O78" s="326">
        <f t="shared" si="66"/>
        <v>0</v>
      </c>
      <c r="P78" s="326">
        <v>0</v>
      </c>
      <c r="Q78" s="326"/>
      <c r="R78" s="326">
        <f t="shared" si="67"/>
        <v>0</v>
      </c>
      <c r="S78" s="326">
        <v>500000</v>
      </c>
      <c r="T78" s="326"/>
      <c r="U78" s="326">
        <f t="shared" si="68"/>
        <v>150000</v>
      </c>
      <c r="V78" s="326">
        <v>0</v>
      </c>
      <c r="W78" s="326"/>
      <c r="X78" s="326">
        <f t="shared" si="69"/>
        <v>0</v>
      </c>
      <c r="Y78" s="326">
        <v>0</v>
      </c>
      <c r="Z78" s="326"/>
      <c r="AA78" s="326">
        <f t="shared" si="70"/>
        <v>0</v>
      </c>
      <c r="AB78" s="326">
        <v>0</v>
      </c>
      <c r="AC78" s="326"/>
      <c r="AD78" s="326">
        <f t="shared" si="71"/>
        <v>0</v>
      </c>
      <c r="AE78" s="326">
        <v>0</v>
      </c>
      <c r="AF78" s="326"/>
      <c r="AG78" s="326">
        <f t="shared" si="72"/>
        <v>0</v>
      </c>
      <c r="AH78" s="326">
        <v>0</v>
      </c>
      <c r="AI78" s="326"/>
      <c r="AJ78" s="326">
        <f t="shared" si="73"/>
        <v>0</v>
      </c>
      <c r="AK78" s="326">
        <v>0</v>
      </c>
      <c r="AL78" s="326"/>
      <c r="AM78" s="326">
        <f t="shared" si="74"/>
        <v>0</v>
      </c>
      <c r="AN78" s="326" cm="1">
        <f t="array" ref="AN78">SUMPRODUCT((D$1:AK$1&lt;&gt;"Margin")*(D$1:AK$1&lt;&gt;"Salary_$600")*D78:AK78)</f>
        <v>500000</v>
      </c>
      <c r="AO78" s="326" cm="1">
        <f t="array" ref="AO78">SUMPRODUCT((D$1:AK$1="Margin")*D78:AK78)</f>
        <v>150000</v>
      </c>
      <c r="AP78" s="417"/>
      <c r="AQ78" s="266" t="s">
        <v>127</v>
      </c>
      <c r="AR78" s="525" t="s">
        <v>207</v>
      </c>
      <c r="AS78" s="525" t="s">
        <v>202</v>
      </c>
      <c r="AU78" s="534"/>
      <c r="AV78" s="534"/>
      <c r="AW78" s="534"/>
    </row>
    <row r="79" spans="1:70" ht="13.5" customHeight="1">
      <c r="A79" s="262" t="s">
        <v>209</v>
      </c>
      <c r="B79" s="262" t="s">
        <v>210</v>
      </c>
      <c r="C79" s="262" t="s">
        <v>95</v>
      </c>
      <c r="D79" s="326">
        <v>0</v>
      </c>
      <c r="E79" s="326"/>
      <c r="F79" s="326">
        <f t="shared" si="63"/>
        <v>0</v>
      </c>
      <c r="G79" s="326">
        <v>0</v>
      </c>
      <c r="H79" s="326"/>
      <c r="I79" s="326">
        <f t="shared" si="64"/>
        <v>0</v>
      </c>
      <c r="J79" s="326">
        <v>0</v>
      </c>
      <c r="K79" s="326"/>
      <c r="L79" s="326">
        <f t="shared" si="65"/>
        <v>0</v>
      </c>
      <c r="M79" s="326">
        <v>0</v>
      </c>
      <c r="N79" s="326"/>
      <c r="O79" s="326">
        <f t="shared" si="66"/>
        <v>0</v>
      </c>
      <c r="P79" s="326">
        <v>0</v>
      </c>
      <c r="Q79" s="326"/>
      <c r="R79" s="326">
        <f t="shared" si="67"/>
        <v>0</v>
      </c>
      <c r="S79" s="326">
        <v>0</v>
      </c>
      <c r="T79" s="326"/>
      <c r="U79" s="326">
        <f t="shared" si="68"/>
        <v>0</v>
      </c>
      <c r="V79" s="326">
        <v>0</v>
      </c>
      <c r="W79" s="326"/>
      <c r="X79" s="326">
        <f t="shared" si="69"/>
        <v>0</v>
      </c>
      <c r="Y79" s="326">
        <v>0</v>
      </c>
      <c r="Z79" s="326"/>
      <c r="AA79" s="326">
        <f t="shared" si="70"/>
        <v>0</v>
      </c>
      <c r="AB79" s="326">
        <v>0</v>
      </c>
      <c r="AC79" s="326"/>
      <c r="AD79" s="326">
        <f t="shared" si="71"/>
        <v>0</v>
      </c>
      <c r="AE79" s="326">
        <v>0</v>
      </c>
      <c r="AF79" s="326"/>
      <c r="AG79" s="326">
        <f t="shared" si="72"/>
        <v>0</v>
      </c>
      <c r="AH79" s="326">
        <v>0</v>
      </c>
      <c r="AI79" s="326"/>
      <c r="AJ79" s="326">
        <f t="shared" si="73"/>
        <v>0</v>
      </c>
      <c r="AK79" s="326">
        <v>0</v>
      </c>
      <c r="AL79" s="326"/>
      <c r="AM79" s="326">
        <f t="shared" si="74"/>
        <v>0</v>
      </c>
      <c r="AN79" s="326" cm="1">
        <f t="array" ref="AN79">SUMPRODUCT((D$1:AK$1&lt;&gt;"Margin")*(D$1:AK$1&lt;&gt;"Salary_$600")*D79:AK79)</f>
        <v>0</v>
      </c>
      <c r="AO79" s="326" cm="1">
        <f t="array" ref="AO79">SUMPRODUCT((D$1:AK$1="Margin")*D79:AK79)</f>
        <v>0</v>
      </c>
      <c r="AP79" s="417" t="s">
        <v>211</v>
      </c>
      <c r="AQ79" s="265" t="s">
        <v>206</v>
      </c>
      <c r="AR79" s="525" t="s">
        <v>212</v>
      </c>
      <c r="AS79" s="525" t="s">
        <v>202</v>
      </c>
      <c r="AU79" s="534"/>
      <c r="AV79" s="534"/>
      <c r="AW79" s="534"/>
    </row>
    <row r="80" spans="1:70" ht="13.5" customHeight="1">
      <c r="A80" s="262" t="s">
        <v>213</v>
      </c>
      <c r="B80" s="262" t="s">
        <v>199</v>
      </c>
      <c r="C80" s="262" t="s">
        <v>101</v>
      </c>
      <c r="D80" s="326">
        <v>0</v>
      </c>
      <c r="E80" s="326"/>
      <c r="F80" s="326">
        <f t="shared" si="63"/>
        <v>0</v>
      </c>
      <c r="G80" s="326">
        <v>0</v>
      </c>
      <c r="H80" s="326"/>
      <c r="I80" s="326">
        <f t="shared" si="64"/>
        <v>0</v>
      </c>
      <c r="J80" s="326">
        <v>0</v>
      </c>
      <c r="K80" s="326"/>
      <c r="L80" s="326">
        <f t="shared" si="65"/>
        <v>0</v>
      </c>
      <c r="M80" s="326">
        <v>0</v>
      </c>
      <c r="N80" s="326"/>
      <c r="O80" s="326">
        <f t="shared" si="66"/>
        <v>0</v>
      </c>
      <c r="P80" s="326">
        <v>0</v>
      </c>
      <c r="Q80" s="326"/>
      <c r="R80" s="326">
        <f t="shared" si="67"/>
        <v>0</v>
      </c>
      <c r="S80" s="326">
        <v>190000</v>
      </c>
      <c r="T80" s="326"/>
      <c r="U80" s="326">
        <f t="shared" si="68"/>
        <v>57000</v>
      </c>
      <c r="V80" s="326">
        <v>0</v>
      </c>
      <c r="W80" s="326"/>
      <c r="X80" s="326">
        <f t="shared" si="69"/>
        <v>0</v>
      </c>
      <c r="Y80" s="326">
        <v>0</v>
      </c>
      <c r="Z80" s="326"/>
      <c r="AA80" s="326">
        <f t="shared" si="70"/>
        <v>0</v>
      </c>
      <c r="AB80" s="326">
        <v>0</v>
      </c>
      <c r="AC80" s="326"/>
      <c r="AD80" s="326">
        <f t="shared" si="71"/>
        <v>0</v>
      </c>
      <c r="AE80" s="326">
        <v>0</v>
      </c>
      <c r="AF80" s="326"/>
      <c r="AG80" s="326">
        <f t="shared" si="72"/>
        <v>0</v>
      </c>
      <c r="AH80" s="326">
        <v>0</v>
      </c>
      <c r="AI80" s="326"/>
      <c r="AJ80" s="326">
        <f t="shared" si="73"/>
        <v>0</v>
      </c>
      <c r="AK80" s="326">
        <v>0</v>
      </c>
      <c r="AL80" s="326"/>
      <c r="AM80" s="326">
        <f t="shared" si="74"/>
        <v>0</v>
      </c>
      <c r="AN80" s="326" cm="1">
        <f t="array" ref="AN80">SUMPRODUCT((D$1:AK$1&lt;&gt;"Margin")*(D$1:AK$1&lt;&gt;"Salary_$600")*D80:AK80)</f>
        <v>190000</v>
      </c>
      <c r="AO80" s="326" cm="1">
        <f t="array" ref="AO80">SUMPRODUCT((D$1:AK$1="Margin")*D80:AK80)</f>
        <v>57000</v>
      </c>
      <c r="AP80" s="417" t="s">
        <v>214</v>
      </c>
      <c r="AQ80" s="266" t="s">
        <v>215</v>
      </c>
      <c r="AR80" s="525" t="s">
        <v>216</v>
      </c>
      <c r="AS80" s="525" t="s">
        <v>202</v>
      </c>
      <c r="AU80" s="534"/>
      <c r="AV80" s="534"/>
      <c r="AW80" s="534"/>
    </row>
    <row r="81" spans="1:69" ht="13.5" customHeight="1">
      <c r="A81" s="262" t="s">
        <v>217</v>
      </c>
      <c r="B81" s="262" t="s">
        <v>199</v>
      </c>
      <c r="C81" s="262" t="s">
        <v>101</v>
      </c>
      <c r="D81" s="326">
        <v>0</v>
      </c>
      <c r="E81" s="326"/>
      <c r="F81" s="326">
        <f t="shared" si="63"/>
        <v>0</v>
      </c>
      <c r="G81" s="326">
        <v>0</v>
      </c>
      <c r="H81" s="326"/>
      <c r="I81" s="326">
        <f t="shared" si="64"/>
        <v>0</v>
      </c>
      <c r="J81" s="326">
        <v>0</v>
      </c>
      <c r="K81" s="326"/>
      <c r="L81" s="326">
        <f t="shared" si="65"/>
        <v>0</v>
      </c>
      <c r="M81" s="326">
        <v>0</v>
      </c>
      <c r="N81" s="326"/>
      <c r="O81" s="326">
        <f t="shared" si="66"/>
        <v>0</v>
      </c>
      <c r="P81" s="326">
        <v>0</v>
      </c>
      <c r="Q81" s="326"/>
      <c r="R81" s="326">
        <f t="shared" si="67"/>
        <v>0</v>
      </c>
      <c r="S81" s="326">
        <v>200000</v>
      </c>
      <c r="T81" s="326"/>
      <c r="U81" s="326">
        <f t="shared" si="68"/>
        <v>60000</v>
      </c>
      <c r="V81" s="326">
        <v>0</v>
      </c>
      <c r="W81" s="326"/>
      <c r="X81" s="326">
        <f t="shared" si="69"/>
        <v>0</v>
      </c>
      <c r="Y81" s="326">
        <v>0</v>
      </c>
      <c r="Z81" s="326"/>
      <c r="AA81" s="326">
        <f t="shared" si="70"/>
        <v>0</v>
      </c>
      <c r="AB81" s="326">
        <v>0</v>
      </c>
      <c r="AC81" s="326"/>
      <c r="AD81" s="326">
        <f t="shared" si="71"/>
        <v>0</v>
      </c>
      <c r="AE81" s="326">
        <v>0</v>
      </c>
      <c r="AF81" s="326"/>
      <c r="AG81" s="326">
        <f t="shared" si="72"/>
        <v>0</v>
      </c>
      <c r="AH81" s="326">
        <v>0</v>
      </c>
      <c r="AI81" s="326"/>
      <c r="AJ81" s="326">
        <f t="shared" si="73"/>
        <v>0</v>
      </c>
      <c r="AK81" s="326">
        <v>0</v>
      </c>
      <c r="AL81" s="326"/>
      <c r="AM81" s="326">
        <f t="shared" si="74"/>
        <v>0</v>
      </c>
      <c r="AN81" s="326" cm="1">
        <f t="array" ref="AN81">SUMPRODUCT((D$1:AK$1&lt;&gt;"Margin")*(D$1:AK$1&lt;&gt;"Salary_$600")*D81:AK81)</f>
        <v>200000</v>
      </c>
      <c r="AO81" s="326" cm="1">
        <f t="array" ref="AO81">SUMPRODUCT((D$1:AK$1="Margin")*D81:AK81)</f>
        <v>60000</v>
      </c>
      <c r="AP81" s="417" t="s">
        <v>214</v>
      </c>
      <c r="AQ81" s="266" t="s">
        <v>215</v>
      </c>
      <c r="AR81" s="525" t="s">
        <v>217</v>
      </c>
      <c r="AS81" s="525" t="s">
        <v>202</v>
      </c>
      <c r="AU81" s="534"/>
      <c r="AV81" s="534"/>
      <c r="AW81" s="534"/>
    </row>
    <row r="82" spans="1:69" ht="13.5" customHeight="1">
      <c r="A82" s="262" t="s">
        <v>218</v>
      </c>
      <c r="B82" s="262" t="s">
        <v>219</v>
      </c>
      <c r="C82" s="262" t="s">
        <v>101</v>
      </c>
      <c r="D82" s="326">
        <v>0</v>
      </c>
      <c r="E82" s="326"/>
      <c r="F82" s="326">
        <f t="shared" si="63"/>
        <v>0</v>
      </c>
      <c r="G82" s="326">
        <v>0</v>
      </c>
      <c r="H82" s="326"/>
      <c r="I82" s="326">
        <f t="shared" si="64"/>
        <v>0</v>
      </c>
      <c r="J82" s="326">
        <v>0</v>
      </c>
      <c r="K82" s="326"/>
      <c r="L82" s="326">
        <f t="shared" si="65"/>
        <v>0</v>
      </c>
      <c r="M82" s="326">
        <v>0</v>
      </c>
      <c r="N82" s="326"/>
      <c r="O82" s="326">
        <f t="shared" si="66"/>
        <v>0</v>
      </c>
      <c r="P82" s="326">
        <v>0</v>
      </c>
      <c r="Q82" s="326"/>
      <c r="R82" s="326">
        <f t="shared" si="67"/>
        <v>0</v>
      </c>
      <c r="S82" s="326">
        <v>300000</v>
      </c>
      <c r="T82" s="326"/>
      <c r="U82" s="326">
        <f t="shared" si="68"/>
        <v>90000</v>
      </c>
      <c r="V82" s="326">
        <v>0</v>
      </c>
      <c r="W82" s="326"/>
      <c r="X82" s="326">
        <f t="shared" si="69"/>
        <v>0</v>
      </c>
      <c r="Y82" s="326">
        <v>0</v>
      </c>
      <c r="Z82" s="326"/>
      <c r="AA82" s="326">
        <f t="shared" si="70"/>
        <v>0</v>
      </c>
      <c r="AB82" s="326">
        <v>0</v>
      </c>
      <c r="AC82" s="326"/>
      <c r="AD82" s="326">
        <f t="shared" si="71"/>
        <v>0</v>
      </c>
      <c r="AE82" s="326">
        <v>0</v>
      </c>
      <c r="AF82" s="326"/>
      <c r="AG82" s="326">
        <f t="shared" si="72"/>
        <v>0</v>
      </c>
      <c r="AH82" s="326">
        <v>0</v>
      </c>
      <c r="AI82" s="326"/>
      <c r="AJ82" s="326">
        <f t="shared" si="73"/>
        <v>0</v>
      </c>
      <c r="AK82" s="326">
        <v>0</v>
      </c>
      <c r="AL82" s="326"/>
      <c r="AM82" s="326">
        <f t="shared" si="74"/>
        <v>0</v>
      </c>
      <c r="AN82" s="326" cm="1">
        <f t="array" ref="AN82">SUMPRODUCT((D$1:AK$1&lt;&gt;"Margin")*(D$1:AK$1&lt;&gt;"Salary_$600")*D82:AK82)</f>
        <v>300000</v>
      </c>
      <c r="AO82" s="326" cm="1">
        <f t="array" ref="AO82">SUMPRODUCT((D$1:AK$1="Margin")*D82:AK82)</f>
        <v>90000</v>
      </c>
      <c r="AP82" s="417" t="s">
        <v>220</v>
      </c>
      <c r="AQ82" s="266" t="s">
        <v>120</v>
      </c>
      <c r="AR82" s="525" t="s">
        <v>221</v>
      </c>
      <c r="AS82" s="525" t="s">
        <v>202</v>
      </c>
      <c r="AU82" s="534"/>
      <c r="AV82" s="534"/>
      <c r="AW82" s="534"/>
    </row>
    <row r="83" spans="1:69" ht="13.5" customHeight="1">
      <c r="A83" s="262" t="s">
        <v>222</v>
      </c>
      <c r="B83" s="262" t="s">
        <v>223</v>
      </c>
      <c r="C83" s="262" t="s">
        <v>101</v>
      </c>
      <c r="D83" s="326">
        <v>0</v>
      </c>
      <c r="E83" s="326"/>
      <c r="F83" s="326">
        <f t="shared" si="63"/>
        <v>0</v>
      </c>
      <c r="G83" s="326">
        <v>0</v>
      </c>
      <c r="H83" s="326"/>
      <c r="I83" s="326">
        <f t="shared" si="64"/>
        <v>0</v>
      </c>
      <c r="J83" s="326">
        <v>0</v>
      </c>
      <c r="K83" s="326"/>
      <c r="L83" s="326">
        <f t="shared" si="65"/>
        <v>0</v>
      </c>
      <c r="M83" s="326">
        <v>0</v>
      </c>
      <c r="N83" s="326"/>
      <c r="O83" s="326">
        <f t="shared" si="66"/>
        <v>0</v>
      </c>
      <c r="P83" s="326">
        <v>0</v>
      </c>
      <c r="Q83" s="326"/>
      <c r="R83" s="326">
        <f t="shared" si="67"/>
        <v>0</v>
      </c>
      <c r="S83" s="326">
        <v>300000</v>
      </c>
      <c r="T83" s="326"/>
      <c r="U83" s="326">
        <f t="shared" si="68"/>
        <v>90000</v>
      </c>
      <c r="V83" s="326">
        <v>0</v>
      </c>
      <c r="W83" s="326"/>
      <c r="X83" s="326">
        <f t="shared" si="69"/>
        <v>0</v>
      </c>
      <c r="Y83" s="326">
        <v>0</v>
      </c>
      <c r="Z83" s="326"/>
      <c r="AA83" s="326">
        <f t="shared" si="70"/>
        <v>0</v>
      </c>
      <c r="AB83" s="326">
        <v>0</v>
      </c>
      <c r="AC83" s="326"/>
      <c r="AD83" s="326">
        <f t="shared" si="71"/>
        <v>0</v>
      </c>
      <c r="AE83" s="326">
        <v>0</v>
      </c>
      <c r="AF83" s="326"/>
      <c r="AG83" s="326">
        <f t="shared" si="72"/>
        <v>0</v>
      </c>
      <c r="AH83" s="326">
        <v>0</v>
      </c>
      <c r="AI83" s="326"/>
      <c r="AJ83" s="326">
        <f t="shared" si="73"/>
        <v>0</v>
      </c>
      <c r="AK83" s="326">
        <v>0</v>
      </c>
      <c r="AL83" s="326"/>
      <c r="AM83" s="326">
        <f t="shared" si="74"/>
        <v>0</v>
      </c>
      <c r="AN83" s="326" cm="1">
        <f t="array" ref="AN83">SUMPRODUCT((D$1:AK$1&lt;&gt;"Margin")*(D$1:AK$1&lt;&gt;"Salary_$600")*D83:AK83)</f>
        <v>300000</v>
      </c>
      <c r="AO83" s="326" cm="1">
        <f t="array" ref="AO83">SUMPRODUCT((D$1:AK$1="Margin")*D83:AK83)</f>
        <v>90000</v>
      </c>
      <c r="AP83" s="417" t="s">
        <v>224</v>
      </c>
      <c r="AQ83" s="266" t="s">
        <v>120</v>
      </c>
      <c r="AR83" s="525" t="s">
        <v>225</v>
      </c>
      <c r="AS83" s="525" t="s">
        <v>202</v>
      </c>
      <c r="AU83" s="534"/>
      <c r="AV83" s="534"/>
      <c r="AW83" s="534"/>
    </row>
    <row r="84" spans="1:69" ht="13.5" customHeight="1">
      <c r="A84" s="262" t="s">
        <v>226</v>
      </c>
      <c r="B84" s="262" t="s">
        <v>199</v>
      </c>
      <c r="C84" s="262" t="s">
        <v>101</v>
      </c>
      <c r="D84" s="326">
        <v>0</v>
      </c>
      <c r="E84" s="326"/>
      <c r="F84" s="326">
        <f t="shared" si="63"/>
        <v>0</v>
      </c>
      <c r="G84" s="326">
        <v>0</v>
      </c>
      <c r="H84" s="326"/>
      <c r="I84" s="326">
        <f t="shared" si="64"/>
        <v>0</v>
      </c>
      <c r="J84" s="326">
        <v>0</v>
      </c>
      <c r="K84" s="326"/>
      <c r="L84" s="326">
        <f t="shared" si="65"/>
        <v>0</v>
      </c>
      <c r="M84" s="326">
        <v>0</v>
      </c>
      <c r="N84" s="326"/>
      <c r="O84" s="326">
        <f t="shared" si="66"/>
        <v>0</v>
      </c>
      <c r="P84" s="326">
        <v>0</v>
      </c>
      <c r="Q84" s="326"/>
      <c r="R84" s="326">
        <f t="shared" si="67"/>
        <v>0</v>
      </c>
      <c r="S84" s="326"/>
      <c r="T84" s="326"/>
      <c r="U84" s="326">
        <f t="shared" si="68"/>
        <v>0</v>
      </c>
      <c r="V84" s="326">
        <v>0</v>
      </c>
      <c r="W84" s="326"/>
      <c r="X84" s="326">
        <f t="shared" si="69"/>
        <v>0</v>
      </c>
      <c r="Y84" s="326">
        <v>0</v>
      </c>
      <c r="Z84" s="326"/>
      <c r="AA84" s="326">
        <f t="shared" si="70"/>
        <v>0</v>
      </c>
      <c r="AB84" s="326">
        <v>0</v>
      </c>
      <c r="AC84" s="326"/>
      <c r="AD84" s="326">
        <f t="shared" si="71"/>
        <v>0</v>
      </c>
      <c r="AE84" s="326">
        <v>0</v>
      </c>
      <c r="AF84" s="326"/>
      <c r="AG84" s="326">
        <f t="shared" si="72"/>
        <v>0</v>
      </c>
      <c r="AH84" s="326">
        <v>0</v>
      </c>
      <c r="AI84" s="326"/>
      <c r="AJ84" s="326">
        <f t="shared" si="73"/>
        <v>0</v>
      </c>
      <c r="AK84" s="326">
        <v>0</v>
      </c>
      <c r="AL84" s="326"/>
      <c r="AM84" s="326">
        <f t="shared" si="74"/>
        <v>0</v>
      </c>
      <c r="AN84" s="326" cm="1">
        <f t="array" ref="AN84">SUMPRODUCT((D$1:AK$1&lt;&gt;"Margin")*(D$1:AK$1&lt;&gt;"Salary_$600")*D84:AK84)</f>
        <v>0</v>
      </c>
      <c r="AO84" s="326" cm="1">
        <f t="array" ref="AO84">SUMPRODUCT((D$1:AK$1="Margin")*D84:AK84)</f>
        <v>0</v>
      </c>
      <c r="AP84" s="417" t="s">
        <v>227</v>
      </c>
      <c r="AQ84" s="266" t="s">
        <v>206</v>
      </c>
      <c r="AR84" s="525" t="s">
        <v>228</v>
      </c>
      <c r="AS84" s="525" t="s">
        <v>202</v>
      </c>
      <c r="AU84" s="534"/>
      <c r="AV84" s="534"/>
      <c r="AW84" s="534"/>
    </row>
    <row r="85" spans="1:69" ht="13.5" customHeight="1">
      <c r="A85" s="262" t="s">
        <v>229</v>
      </c>
      <c r="B85" s="262" t="s">
        <v>204</v>
      </c>
      <c r="C85" s="262" t="s">
        <v>101</v>
      </c>
      <c r="D85" s="326">
        <v>0</v>
      </c>
      <c r="E85" s="326"/>
      <c r="F85" s="326">
        <f t="shared" si="63"/>
        <v>0</v>
      </c>
      <c r="G85" s="326">
        <v>0</v>
      </c>
      <c r="H85" s="326"/>
      <c r="I85" s="326">
        <f t="shared" si="64"/>
        <v>0</v>
      </c>
      <c r="J85" s="326">
        <v>0</v>
      </c>
      <c r="K85" s="326"/>
      <c r="L85" s="326">
        <f t="shared" si="65"/>
        <v>0</v>
      </c>
      <c r="M85" s="326">
        <v>0</v>
      </c>
      <c r="N85" s="326"/>
      <c r="O85" s="326">
        <f t="shared" si="66"/>
        <v>0</v>
      </c>
      <c r="P85" s="326">
        <v>0</v>
      </c>
      <c r="Q85" s="326"/>
      <c r="R85" s="326">
        <f t="shared" si="67"/>
        <v>0</v>
      </c>
      <c r="S85" s="326">
        <v>300000</v>
      </c>
      <c r="T85" s="326"/>
      <c r="U85" s="326">
        <f t="shared" si="68"/>
        <v>90000</v>
      </c>
      <c r="V85" s="326">
        <v>0</v>
      </c>
      <c r="W85" s="326"/>
      <c r="X85" s="326">
        <f t="shared" si="69"/>
        <v>0</v>
      </c>
      <c r="Y85" s="326">
        <v>0</v>
      </c>
      <c r="Z85" s="326"/>
      <c r="AA85" s="326">
        <f t="shared" si="70"/>
        <v>0</v>
      </c>
      <c r="AB85" s="326">
        <v>0</v>
      </c>
      <c r="AC85" s="326"/>
      <c r="AD85" s="326">
        <f t="shared" si="71"/>
        <v>0</v>
      </c>
      <c r="AE85" s="326">
        <v>0</v>
      </c>
      <c r="AF85" s="326"/>
      <c r="AG85" s="326">
        <f t="shared" si="72"/>
        <v>0</v>
      </c>
      <c r="AH85" s="326">
        <v>0</v>
      </c>
      <c r="AI85" s="326"/>
      <c r="AJ85" s="326">
        <f t="shared" si="73"/>
        <v>0</v>
      </c>
      <c r="AK85" s="326">
        <v>0</v>
      </c>
      <c r="AL85" s="326"/>
      <c r="AM85" s="326">
        <f t="shared" si="74"/>
        <v>0</v>
      </c>
      <c r="AN85" s="326" cm="1">
        <f t="array" ref="AN85">SUMPRODUCT((D$1:AK$1&lt;&gt;"Margin")*(D$1:AK$1&lt;&gt;"Salary_$600")*D85:AK85)</f>
        <v>300000</v>
      </c>
      <c r="AO85" s="326" cm="1">
        <f t="array" ref="AO85">SUMPRODUCT((D$1:AK$1="Margin")*D85:AK85)</f>
        <v>90000</v>
      </c>
      <c r="AP85" s="264"/>
      <c r="AQ85" s="266" t="s">
        <v>189</v>
      </c>
      <c r="AR85" s="525" t="s">
        <v>229</v>
      </c>
      <c r="AS85" s="525" t="s">
        <v>202</v>
      </c>
      <c r="AU85" s="534"/>
      <c r="AV85" s="534"/>
      <c r="AW85" s="534"/>
    </row>
    <row r="86" spans="1:69" ht="13.5" customHeight="1">
      <c r="A86" s="262" t="s">
        <v>230</v>
      </c>
      <c r="B86" s="262" t="s">
        <v>210</v>
      </c>
      <c r="C86" s="262" t="s">
        <v>101</v>
      </c>
      <c r="D86" s="326">
        <v>0</v>
      </c>
      <c r="E86" s="326"/>
      <c r="F86" s="326">
        <f t="shared" si="63"/>
        <v>0</v>
      </c>
      <c r="G86" s="326">
        <v>0</v>
      </c>
      <c r="H86" s="326"/>
      <c r="I86" s="326">
        <f t="shared" si="64"/>
        <v>0</v>
      </c>
      <c r="J86" s="326">
        <v>0</v>
      </c>
      <c r="K86" s="326"/>
      <c r="L86" s="326">
        <f t="shared" si="65"/>
        <v>0</v>
      </c>
      <c r="M86" s="326">
        <v>0</v>
      </c>
      <c r="N86" s="326"/>
      <c r="O86" s="326">
        <f t="shared" si="66"/>
        <v>0</v>
      </c>
      <c r="P86" s="326">
        <v>0</v>
      </c>
      <c r="Q86" s="326"/>
      <c r="R86" s="326">
        <f t="shared" si="67"/>
        <v>0</v>
      </c>
      <c r="S86" s="326">
        <v>500000</v>
      </c>
      <c r="T86" s="326"/>
      <c r="U86" s="326">
        <f t="shared" si="68"/>
        <v>150000</v>
      </c>
      <c r="V86" s="326">
        <v>0</v>
      </c>
      <c r="W86" s="326"/>
      <c r="X86" s="326">
        <f t="shared" si="69"/>
        <v>0</v>
      </c>
      <c r="Y86" s="326">
        <v>0</v>
      </c>
      <c r="Z86" s="326"/>
      <c r="AA86" s="326">
        <f t="shared" si="70"/>
        <v>0</v>
      </c>
      <c r="AB86" s="326">
        <v>0</v>
      </c>
      <c r="AC86" s="326"/>
      <c r="AD86" s="326">
        <f t="shared" si="71"/>
        <v>0</v>
      </c>
      <c r="AE86" s="326">
        <v>0</v>
      </c>
      <c r="AF86" s="326"/>
      <c r="AG86" s="326">
        <f t="shared" si="72"/>
        <v>0</v>
      </c>
      <c r="AH86" s="326">
        <v>0</v>
      </c>
      <c r="AI86" s="326"/>
      <c r="AJ86" s="326">
        <f t="shared" si="73"/>
        <v>0</v>
      </c>
      <c r="AK86" s="326">
        <v>0</v>
      </c>
      <c r="AL86" s="326"/>
      <c r="AM86" s="326">
        <f t="shared" si="74"/>
        <v>0</v>
      </c>
      <c r="AN86" s="326" cm="1">
        <f t="array" ref="AN86">SUMPRODUCT((D$1:AK$1&lt;&gt;"Margin")*(D$1:AK$1&lt;&gt;"Salary_$600")*D86:AK86)</f>
        <v>500000</v>
      </c>
      <c r="AO86" s="326" cm="1">
        <f t="array" ref="AO86">SUMPRODUCT((D$1:AK$1="Margin")*D86:AK86)</f>
        <v>150000</v>
      </c>
      <c r="AP86" s="264"/>
      <c r="AQ86" s="266" t="s">
        <v>120</v>
      </c>
      <c r="AR86" s="525" t="s">
        <v>230</v>
      </c>
      <c r="AS86" s="525" t="s">
        <v>202</v>
      </c>
      <c r="AU86" s="534"/>
      <c r="AV86" s="534"/>
      <c r="AW86" s="534"/>
    </row>
    <row r="87" spans="1:69" ht="13.5" customHeight="1">
      <c r="A87" s="262" t="s">
        <v>231</v>
      </c>
      <c r="B87" s="262" t="s">
        <v>210</v>
      </c>
      <c r="C87" s="262" t="s">
        <v>101</v>
      </c>
      <c r="D87" s="326">
        <v>0</v>
      </c>
      <c r="E87" s="326"/>
      <c r="F87" s="326">
        <f t="shared" si="63"/>
        <v>0</v>
      </c>
      <c r="G87" s="326">
        <v>0</v>
      </c>
      <c r="H87" s="326"/>
      <c r="I87" s="326">
        <f t="shared" si="64"/>
        <v>0</v>
      </c>
      <c r="J87" s="326">
        <v>0</v>
      </c>
      <c r="K87" s="326"/>
      <c r="L87" s="326">
        <f t="shared" si="65"/>
        <v>0</v>
      </c>
      <c r="M87" s="326">
        <v>0</v>
      </c>
      <c r="N87" s="326"/>
      <c r="O87" s="326">
        <f t="shared" si="66"/>
        <v>0</v>
      </c>
      <c r="P87" s="326">
        <v>0</v>
      </c>
      <c r="Q87" s="326"/>
      <c r="R87" s="326">
        <f t="shared" si="67"/>
        <v>0</v>
      </c>
      <c r="S87" s="326">
        <v>1500000</v>
      </c>
      <c r="T87" s="326"/>
      <c r="U87" s="326">
        <f t="shared" si="68"/>
        <v>450000</v>
      </c>
      <c r="V87" s="326">
        <v>0</v>
      </c>
      <c r="W87" s="326"/>
      <c r="X87" s="326">
        <f t="shared" si="69"/>
        <v>0</v>
      </c>
      <c r="Y87" s="326">
        <v>0</v>
      </c>
      <c r="Z87" s="326"/>
      <c r="AA87" s="326">
        <f t="shared" si="70"/>
        <v>0</v>
      </c>
      <c r="AB87" s="326">
        <v>0</v>
      </c>
      <c r="AC87" s="326"/>
      <c r="AD87" s="326">
        <f t="shared" si="71"/>
        <v>0</v>
      </c>
      <c r="AE87" s="326">
        <v>0</v>
      </c>
      <c r="AF87" s="326"/>
      <c r="AG87" s="326">
        <f t="shared" si="72"/>
        <v>0</v>
      </c>
      <c r="AH87" s="326">
        <v>0</v>
      </c>
      <c r="AI87" s="326"/>
      <c r="AJ87" s="326">
        <f t="shared" si="73"/>
        <v>0</v>
      </c>
      <c r="AK87" s="326">
        <v>0</v>
      </c>
      <c r="AL87" s="326"/>
      <c r="AM87" s="326">
        <f t="shared" si="74"/>
        <v>0</v>
      </c>
      <c r="AN87" s="326" cm="1">
        <f t="array" ref="AN87">SUMPRODUCT((D$1:AK$1&lt;&gt;"Margin")*(D$1:AK$1&lt;&gt;"Salary_$600")*D87:AK87)</f>
        <v>1500000</v>
      </c>
      <c r="AO87" s="326" cm="1">
        <f t="array" ref="AO87">SUMPRODUCT((D$1:AK$1="Margin")*D87:AK87)</f>
        <v>450000</v>
      </c>
      <c r="AP87" s="264"/>
      <c r="AQ87" s="266" t="s">
        <v>120</v>
      </c>
      <c r="AR87" s="525" t="s">
        <v>231</v>
      </c>
      <c r="AS87" s="525" t="s">
        <v>202</v>
      </c>
      <c r="AU87" s="534"/>
      <c r="AV87" s="534"/>
      <c r="AW87" s="534"/>
    </row>
    <row r="88" spans="1:69" ht="13.5" customHeight="1">
      <c r="A88" s="262" t="s">
        <v>232</v>
      </c>
      <c r="B88" s="262" t="s">
        <v>210</v>
      </c>
      <c r="C88" s="262" t="s">
        <v>101</v>
      </c>
      <c r="D88" s="326">
        <v>0</v>
      </c>
      <c r="E88" s="326"/>
      <c r="F88" s="326">
        <f t="shared" si="63"/>
        <v>0</v>
      </c>
      <c r="G88" s="326">
        <v>0</v>
      </c>
      <c r="H88" s="326"/>
      <c r="I88" s="326">
        <f t="shared" si="64"/>
        <v>0</v>
      </c>
      <c r="J88" s="326">
        <v>0</v>
      </c>
      <c r="K88" s="326"/>
      <c r="L88" s="326">
        <f t="shared" si="65"/>
        <v>0</v>
      </c>
      <c r="M88" s="326">
        <v>0</v>
      </c>
      <c r="N88" s="326"/>
      <c r="O88" s="326">
        <f t="shared" si="66"/>
        <v>0</v>
      </c>
      <c r="P88" s="326">
        <v>0</v>
      </c>
      <c r="Q88" s="326"/>
      <c r="R88" s="326">
        <f t="shared" si="67"/>
        <v>0</v>
      </c>
      <c r="S88" s="326">
        <v>2500000</v>
      </c>
      <c r="T88" s="326"/>
      <c r="U88" s="326">
        <f t="shared" si="68"/>
        <v>750000</v>
      </c>
      <c r="V88" s="326">
        <v>0</v>
      </c>
      <c r="W88" s="326"/>
      <c r="X88" s="326">
        <f t="shared" si="69"/>
        <v>0</v>
      </c>
      <c r="Y88" s="326">
        <v>0</v>
      </c>
      <c r="Z88" s="326"/>
      <c r="AA88" s="326">
        <f t="shared" si="70"/>
        <v>0</v>
      </c>
      <c r="AB88" s="326">
        <v>0</v>
      </c>
      <c r="AC88" s="326"/>
      <c r="AD88" s="326">
        <f t="shared" si="71"/>
        <v>0</v>
      </c>
      <c r="AE88" s="326">
        <v>0</v>
      </c>
      <c r="AF88" s="326"/>
      <c r="AG88" s="326">
        <f t="shared" si="72"/>
        <v>0</v>
      </c>
      <c r="AH88" s="326">
        <v>0</v>
      </c>
      <c r="AI88" s="326"/>
      <c r="AJ88" s="326">
        <f t="shared" si="73"/>
        <v>0</v>
      </c>
      <c r="AK88" s="326">
        <v>0</v>
      </c>
      <c r="AL88" s="326"/>
      <c r="AM88" s="326">
        <f t="shared" si="74"/>
        <v>0</v>
      </c>
      <c r="AN88" s="326" cm="1">
        <f t="array" ref="AN88">SUMPRODUCT((D$1:AK$1&lt;&gt;"Margin")*(D$1:AK$1&lt;&gt;"Salary_$600")*D88:AK88)</f>
        <v>2500000</v>
      </c>
      <c r="AO88" s="326" cm="1">
        <f t="array" ref="AO88">SUMPRODUCT((D$1:AK$1="Margin")*D88:AK88)</f>
        <v>750000</v>
      </c>
      <c r="AP88" s="264"/>
      <c r="AQ88" s="266" t="s">
        <v>120</v>
      </c>
      <c r="AR88" s="525" t="s">
        <v>232</v>
      </c>
      <c r="AS88" s="525" t="s">
        <v>202</v>
      </c>
      <c r="AU88" s="534"/>
      <c r="AV88" s="534"/>
      <c r="AW88" s="534"/>
    </row>
    <row r="89" spans="1:69" ht="13.5" customHeight="1">
      <c r="A89" s="262" t="s">
        <v>233</v>
      </c>
      <c r="B89" s="262" t="s">
        <v>210</v>
      </c>
      <c r="C89" s="262" t="s">
        <v>101</v>
      </c>
      <c r="D89" s="326">
        <v>0</v>
      </c>
      <c r="E89" s="326"/>
      <c r="F89" s="326">
        <f t="shared" si="63"/>
        <v>0</v>
      </c>
      <c r="G89" s="326">
        <v>0</v>
      </c>
      <c r="H89" s="326"/>
      <c r="I89" s="326">
        <f t="shared" si="64"/>
        <v>0</v>
      </c>
      <c r="J89" s="326">
        <v>0</v>
      </c>
      <c r="K89" s="326"/>
      <c r="L89" s="326">
        <f t="shared" si="65"/>
        <v>0</v>
      </c>
      <c r="M89" s="326">
        <v>0</v>
      </c>
      <c r="N89" s="326"/>
      <c r="O89" s="326">
        <f t="shared" si="66"/>
        <v>0</v>
      </c>
      <c r="P89" s="326">
        <v>0</v>
      </c>
      <c r="Q89" s="326"/>
      <c r="R89" s="326">
        <f t="shared" si="67"/>
        <v>0</v>
      </c>
      <c r="S89" s="326">
        <v>3000000</v>
      </c>
      <c r="T89" s="326"/>
      <c r="U89" s="326">
        <f t="shared" si="68"/>
        <v>900000</v>
      </c>
      <c r="V89" s="326">
        <v>0</v>
      </c>
      <c r="W89" s="326"/>
      <c r="X89" s="326">
        <f t="shared" si="69"/>
        <v>0</v>
      </c>
      <c r="Y89" s="326">
        <v>0</v>
      </c>
      <c r="Z89" s="326"/>
      <c r="AA89" s="326">
        <f t="shared" si="70"/>
        <v>0</v>
      </c>
      <c r="AB89" s="326">
        <v>0</v>
      </c>
      <c r="AC89" s="326"/>
      <c r="AD89" s="326">
        <f t="shared" si="71"/>
        <v>0</v>
      </c>
      <c r="AE89" s="326">
        <v>0</v>
      </c>
      <c r="AF89" s="326"/>
      <c r="AG89" s="326">
        <f t="shared" si="72"/>
        <v>0</v>
      </c>
      <c r="AH89" s="326">
        <v>0</v>
      </c>
      <c r="AI89" s="326"/>
      <c r="AJ89" s="326">
        <f t="shared" si="73"/>
        <v>0</v>
      </c>
      <c r="AK89" s="326">
        <v>0</v>
      </c>
      <c r="AL89" s="326"/>
      <c r="AM89" s="326">
        <f t="shared" si="74"/>
        <v>0</v>
      </c>
      <c r="AN89" s="326" cm="1">
        <f t="array" ref="AN89">SUMPRODUCT((D$1:AK$1&lt;&gt;"Margin")*(D$1:AK$1&lt;&gt;"Salary_$600")*D89:AK89)</f>
        <v>3000000</v>
      </c>
      <c r="AO89" s="326" cm="1">
        <f t="array" ref="AO89">SUMPRODUCT((D$1:AK$1="Margin")*D89:AK89)</f>
        <v>900000</v>
      </c>
      <c r="AP89" s="417" t="s">
        <v>234</v>
      </c>
      <c r="AQ89" s="266" t="s">
        <v>120</v>
      </c>
      <c r="AR89" s="525" t="s">
        <v>233</v>
      </c>
      <c r="AS89" s="525" t="s">
        <v>202</v>
      </c>
      <c r="AU89" s="534"/>
      <c r="AV89" s="534"/>
      <c r="AW89" s="534"/>
    </row>
    <row r="90" spans="1:69" ht="13.5" customHeight="1">
      <c r="A90" s="262" t="s">
        <v>235</v>
      </c>
      <c r="B90" s="262" t="s">
        <v>204</v>
      </c>
      <c r="C90" s="262" t="s">
        <v>101</v>
      </c>
      <c r="D90" s="326">
        <v>0</v>
      </c>
      <c r="E90" s="326"/>
      <c r="F90" s="326">
        <f>D90*0.3</f>
        <v>0</v>
      </c>
      <c r="G90" s="326">
        <v>0</v>
      </c>
      <c r="H90" s="326"/>
      <c r="I90" s="326">
        <f>G90*0.3</f>
        <v>0</v>
      </c>
      <c r="J90" s="326">
        <v>0</v>
      </c>
      <c r="K90" s="326"/>
      <c r="L90" s="326">
        <f>J90*0.3</f>
        <v>0</v>
      </c>
      <c r="M90" s="326">
        <v>0</v>
      </c>
      <c r="N90" s="326"/>
      <c r="O90" s="326">
        <f>M90*0.3</f>
        <v>0</v>
      </c>
      <c r="P90" s="326">
        <v>0</v>
      </c>
      <c r="Q90" s="326"/>
      <c r="R90" s="326">
        <f>P90*0.3</f>
        <v>0</v>
      </c>
      <c r="S90" s="326">
        <v>0</v>
      </c>
      <c r="T90" s="326"/>
      <c r="U90" s="326">
        <f>S90*0.3</f>
        <v>0</v>
      </c>
      <c r="V90" s="326">
        <v>0</v>
      </c>
      <c r="W90" s="326"/>
      <c r="X90" s="326">
        <f>V90*0.3</f>
        <v>0</v>
      </c>
      <c r="Y90" s="326">
        <v>0</v>
      </c>
      <c r="Z90" s="326"/>
      <c r="AA90" s="326">
        <f>Y90*0.3</f>
        <v>0</v>
      </c>
      <c r="AB90" s="326">
        <v>0</v>
      </c>
      <c r="AC90" s="326"/>
      <c r="AD90" s="326">
        <f>AB90*0.3</f>
        <v>0</v>
      </c>
      <c r="AE90" s="326">
        <v>0</v>
      </c>
      <c r="AF90" s="326"/>
      <c r="AG90" s="326">
        <f>AE90*0.3</f>
        <v>0</v>
      </c>
      <c r="AH90" s="326">
        <v>0</v>
      </c>
      <c r="AI90" s="326"/>
      <c r="AJ90" s="326">
        <f>AH90*0.3</f>
        <v>0</v>
      </c>
      <c r="AK90" s="326">
        <v>0</v>
      </c>
      <c r="AL90" s="326"/>
      <c r="AM90" s="326">
        <f>AK90*0.3</f>
        <v>0</v>
      </c>
      <c r="AN90" s="326" cm="1">
        <f t="array" ref="AN90">SUMPRODUCT((D$1:AK$1&lt;&gt;"Margin")*(D$1:AK$1&lt;&gt;"Salary_$600")*D90:AK90)</f>
        <v>0</v>
      </c>
      <c r="AO90" s="326" cm="1">
        <f t="array" ref="AO90">SUMPRODUCT((D$1:AK$1="Margin")*D90:AK90)</f>
        <v>0</v>
      </c>
      <c r="AP90" s="264"/>
      <c r="AQ90" s="266" t="s">
        <v>206</v>
      </c>
      <c r="AR90" s="525" t="s">
        <v>235</v>
      </c>
      <c r="AS90" s="525" t="s">
        <v>202</v>
      </c>
      <c r="AU90" s="534"/>
      <c r="AV90" s="534"/>
      <c r="AW90" s="534"/>
    </row>
    <row r="91" spans="1:69" customFormat="1" ht="13.5" customHeight="1">
      <c r="A91" s="262" t="s">
        <v>236</v>
      </c>
      <c r="B91" s="262" t="s">
        <v>204</v>
      </c>
      <c r="C91" s="262" t="s">
        <v>101</v>
      </c>
      <c r="D91" s="326">
        <v>0</v>
      </c>
      <c r="E91" s="326"/>
      <c r="F91" s="326">
        <v>0</v>
      </c>
      <c r="G91" s="326">
        <v>0</v>
      </c>
      <c r="H91" s="326"/>
      <c r="I91" s="326">
        <v>0</v>
      </c>
      <c r="J91" s="326">
        <v>0</v>
      </c>
      <c r="K91" s="326"/>
      <c r="L91" s="326">
        <v>0</v>
      </c>
      <c r="M91" s="326">
        <v>0</v>
      </c>
      <c r="N91" s="326"/>
      <c r="O91" s="326">
        <v>0</v>
      </c>
      <c r="P91" s="326">
        <v>0</v>
      </c>
      <c r="Q91" s="326"/>
      <c r="R91" s="326">
        <v>0</v>
      </c>
      <c r="S91" s="326">
        <v>0</v>
      </c>
      <c r="T91" s="326"/>
      <c r="U91" s="326">
        <v>0</v>
      </c>
      <c r="V91" s="326">
        <v>0</v>
      </c>
      <c r="W91" s="326"/>
      <c r="X91" s="326">
        <v>0</v>
      </c>
      <c r="Y91" s="326">
        <v>0</v>
      </c>
      <c r="Z91" s="326"/>
      <c r="AA91" s="326">
        <v>0</v>
      </c>
      <c r="AB91" s="326">
        <v>0</v>
      </c>
      <c r="AC91" s="326"/>
      <c r="AD91" s="326">
        <v>0</v>
      </c>
      <c r="AE91" s="326">
        <v>0</v>
      </c>
      <c r="AF91" s="326"/>
      <c r="AG91" s="326">
        <v>0</v>
      </c>
      <c r="AH91" s="326">
        <v>0</v>
      </c>
      <c r="AI91" s="326"/>
      <c r="AJ91" s="326">
        <v>0</v>
      </c>
      <c r="AK91" s="326">
        <v>0</v>
      </c>
      <c r="AL91" s="326"/>
      <c r="AM91" s="326">
        <v>0</v>
      </c>
      <c r="AN91" s="326" cm="1">
        <f t="array" ref="AN91">SUMPRODUCT((D$1:AK$1&lt;&gt;"Margin")*(D$1:AK$1&lt;&gt;"Salary_$600")*D91:AK91)</f>
        <v>0</v>
      </c>
      <c r="AO91" s="326" cm="1">
        <f t="array" ref="AO91">SUMPRODUCT((D$1:AK$1="Margin")*D91:AK91)</f>
        <v>0</v>
      </c>
      <c r="AP91" s="264"/>
      <c r="AQ91" s="266" t="s">
        <v>206</v>
      </c>
      <c r="AR91" s="525" t="s">
        <v>236</v>
      </c>
      <c r="AS91" s="525" t="s">
        <v>202</v>
      </c>
      <c r="AU91" s="534"/>
      <c r="AV91" s="534"/>
      <c r="AW91" s="534"/>
      <c r="BQ91" s="157"/>
    </row>
    <row r="92" spans="1:69" customFormat="1" ht="13.5" customHeight="1">
      <c r="A92" s="262" t="s">
        <v>237</v>
      </c>
      <c r="B92" s="262" t="s">
        <v>223</v>
      </c>
      <c r="C92" s="262"/>
      <c r="D92" s="326">
        <f>SUM(D76:D91)</f>
        <v>0</v>
      </c>
      <c r="E92" s="326"/>
      <c r="F92" s="326">
        <f>SUM(F76:F91)</f>
        <v>0</v>
      </c>
      <c r="G92" s="326">
        <f>SUM(G76:G91)</f>
        <v>0</v>
      </c>
      <c r="H92" s="326"/>
      <c r="I92" s="326">
        <f>SUM(I76:I91)</f>
        <v>0</v>
      </c>
      <c r="J92" s="326">
        <f>SUM(J76:J91)</f>
        <v>0</v>
      </c>
      <c r="K92" s="326"/>
      <c r="L92" s="326">
        <f>SUM(L76:L91)</f>
        <v>0</v>
      </c>
      <c r="M92" s="326">
        <f>SUM(M76:M91)</f>
        <v>0</v>
      </c>
      <c r="N92" s="326"/>
      <c r="O92" s="326">
        <f>SUM(O76:O91)</f>
        <v>0</v>
      </c>
      <c r="P92" s="326">
        <f>SUM(P76:P91)</f>
        <v>0</v>
      </c>
      <c r="Q92" s="326"/>
      <c r="R92" s="326"/>
      <c r="S92" s="326">
        <f>SUM(S76:S91)</f>
        <v>9790000</v>
      </c>
      <c r="T92" s="326"/>
      <c r="U92" s="326">
        <f>SUM(U76:U91)</f>
        <v>2937000</v>
      </c>
      <c r="V92" s="326">
        <f>SUM(V76:V91)</f>
        <v>0</v>
      </c>
      <c r="W92" s="326"/>
      <c r="X92" s="326">
        <f>SUM(X76:X91)</f>
        <v>0</v>
      </c>
      <c r="Y92" s="326">
        <f>SUM(Y76:Y91)</f>
        <v>0</v>
      </c>
      <c r="Z92" s="326"/>
      <c r="AA92" s="326">
        <f>SUM(AA76:AA91)</f>
        <v>0</v>
      </c>
      <c r="AB92" s="326">
        <f>SUM(AB76:AB91)</f>
        <v>0</v>
      </c>
      <c r="AC92" s="326"/>
      <c r="AD92" s="326"/>
      <c r="AE92" s="326">
        <f>SUM(AE76:AE91)</f>
        <v>0</v>
      </c>
      <c r="AF92" s="326"/>
      <c r="AG92" s="326"/>
      <c r="AH92" s="326">
        <f>SUM(AH76:AH91)</f>
        <v>0</v>
      </c>
      <c r="AI92" s="326"/>
      <c r="AJ92" s="326"/>
      <c r="AK92" s="326">
        <f>SUM(AK76:AK91)</f>
        <v>0</v>
      </c>
      <c r="AL92" s="326"/>
      <c r="AM92" s="326"/>
      <c r="AN92" s="326">
        <f>SUM(AN76:AN91)</f>
        <v>9790000</v>
      </c>
      <c r="AO92" s="326"/>
      <c r="AP92" s="264"/>
      <c r="AQ92" s="266"/>
      <c r="AR92" s="525" t="s">
        <v>238</v>
      </c>
      <c r="AS92" s="525" t="s">
        <v>202</v>
      </c>
      <c r="AU92" s="534"/>
      <c r="AV92" s="534"/>
      <c r="AW92" s="534"/>
      <c r="BQ92" s="157"/>
    </row>
    <row r="93" spans="1:69" s="272" customFormat="1" ht="13.5" customHeight="1">
      <c r="A93" s="268" t="s">
        <v>239</v>
      </c>
      <c r="B93" s="268"/>
      <c r="C93" s="268"/>
      <c r="D93" s="327">
        <f>SUM(D68:D91)</f>
        <v>0</v>
      </c>
      <c r="E93" s="327"/>
      <c r="F93" s="326">
        <f>D93*0.3</f>
        <v>0</v>
      </c>
      <c r="G93" s="327">
        <f>SUM(G68:G91)</f>
        <v>0</v>
      </c>
      <c r="H93" s="327"/>
      <c r="I93" s="326">
        <f>G93*0.3</f>
        <v>0</v>
      </c>
      <c r="J93" s="327">
        <f>SUM(J68:J91)</f>
        <v>0</v>
      </c>
      <c r="K93" s="327"/>
      <c r="L93" s="326">
        <f>J93*0.3</f>
        <v>0</v>
      </c>
      <c r="M93" s="327">
        <f>SUM(M68:M91)</f>
        <v>0</v>
      </c>
      <c r="N93" s="327"/>
      <c r="O93" s="326">
        <f>M93*0.3</f>
        <v>0</v>
      </c>
      <c r="P93" s="327">
        <f>SUM(P68:P91)</f>
        <v>3500</v>
      </c>
      <c r="Q93" s="327"/>
      <c r="R93" s="326">
        <f>P93*0.3</f>
        <v>1050</v>
      </c>
      <c r="S93" s="327">
        <f>SUM(S68:S91)</f>
        <v>10010000</v>
      </c>
      <c r="T93" s="327"/>
      <c r="U93" s="326">
        <f>S93*0.3</f>
        <v>3003000</v>
      </c>
      <c r="V93" s="327">
        <f>SUM(V68:V91)</f>
        <v>117800</v>
      </c>
      <c r="W93" s="327"/>
      <c r="X93" s="326">
        <f>V93*0.3</f>
        <v>35340</v>
      </c>
      <c r="Y93" s="327">
        <f>SUM(Y68:Y91)</f>
        <v>93400</v>
      </c>
      <c r="Z93" s="327"/>
      <c r="AA93" s="326">
        <f>Y93*0.3</f>
        <v>28020</v>
      </c>
      <c r="AB93" s="327">
        <f>SUM(AB68:AB91)</f>
        <v>93400</v>
      </c>
      <c r="AC93" s="327"/>
      <c r="AD93" s="326">
        <f>AB93*0.3</f>
        <v>28020</v>
      </c>
      <c r="AE93" s="327">
        <f>SUM(AE68:AE91)</f>
        <v>253400</v>
      </c>
      <c r="AF93" s="327"/>
      <c r="AG93" s="326">
        <f>AE93*0.3</f>
        <v>76020</v>
      </c>
      <c r="AH93" s="327">
        <f>SUM(AH68:AH91)</f>
        <v>23400</v>
      </c>
      <c r="AI93" s="327"/>
      <c r="AJ93" s="326">
        <f>AH93*0.3</f>
        <v>7020</v>
      </c>
      <c r="AK93" s="327">
        <f>SUM(AK68:AK91)</f>
        <v>23400</v>
      </c>
      <c r="AL93" s="327"/>
      <c r="AM93" s="326">
        <f>AK93*0.3</f>
        <v>7020</v>
      </c>
      <c r="AN93" s="327">
        <f>+AN92+AN74</f>
        <v>10024150</v>
      </c>
      <c r="AO93" s="326" cm="1">
        <f t="array" ref="AO93">SUMPRODUCT((D$1:AK$1="Margin")*D93:AK93)</f>
        <v>3178470</v>
      </c>
      <c r="AP93" s="264"/>
      <c r="AQ93" s="270"/>
      <c r="AR93" s="344"/>
      <c r="AS93" s="344"/>
      <c r="AT93" s="316"/>
      <c r="AU93" s="537"/>
      <c r="AV93" s="537"/>
      <c r="AW93" s="537"/>
      <c r="AX93" s="316"/>
      <c r="AY93" s="316"/>
      <c r="AZ93" s="316"/>
      <c r="BA93" s="316"/>
      <c r="BB93" s="316"/>
      <c r="BC93" s="316"/>
      <c r="BD93" s="316"/>
      <c r="BE93" s="316"/>
      <c r="BF93" s="316"/>
      <c r="BG93" s="316"/>
      <c r="BH93" s="316"/>
      <c r="BI93" s="316"/>
      <c r="BJ93" s="316"/>
      <c r="BK93" s="316"/>
      <c r="BL93" s="316"/>
      <c r="BM93" s="316"/>
      <c r="BN93" s="316"/>
      <c r="BO93" s="316"/>
      <c r="BP93" s="316"/>
      <c r="BQ93" s="317"/>
    </row>
    <row r="94" spans="1:69" s="168" customFormat="1" ht="13.5" customHeight="1">
      <c r="D94" s="314"/>
      <c r="E94" s="314"/>
      <c r="F94" s="314"/>
      <c r="G94" s="314"/>
      <c r="H94" s="314"/>
      <c r="I94" s="314"/>
      <c r="J94" s="314"/>
      <c r="K94" s="314"/>
      <c r="L94" s="314"/>
      <c r="M94" s="314"/>
      <c r="N94" s="314"/>
      <c r="O94" s="314"/>
      <c r="P94" s="314"/>
      <c r="Q94" s="314"/>
      <c r="R94" s="314"/>
      <c r="S94" s="314"/>
      <c r="T94" s="314"/>
      <c r="U94" s="314"/>
      <c r="V94" s="314"/>
      <c r="W94" s="314"/>
      <c r="X94" s="314"/>
      <c r="Y94" s="314"/>
      <c r="Z94" s="314"/>
      <c r="AA94" s="314"/>
      <c r="AB94" s="314"/>
      <c r="AC94" s="314"/>
      <c r="AD94" s="314"/>
      <c r="AE94" s="314"/>
      <c r="AF94" s="314"/>
      <c r="AG94" s="314"/>
      <c r="AH94" s="314"/>
      <c r="AI94" s="314"/>
      <c r="AJ94" s="314"/>
      <c r="AK94" s="314"/>
      <c r="AL94" s="314"/>
      <c r="AM94" s="314"/>
      <c r="AN94" s="323"/>
      <c r="AO94" s="323"/>
      <c r="AP94" s="284"/>
      <c r="AR94" s="525"/>
      <c r="AS94" s="525"/>
      <c r="AT94"/>
      <c r="AU94" s="534"/>
      <c r="AV94" s="534"/>
      <c r="AW94" s="534"/>
      <c r="AX94"/>
      <c r="AY94"/>
      <c r="AZ94"/>
      <c r="BA94"/>
      <c r="BB94"/>
      <c r="BC94"/>
      <c r="BD94"/>
      <c r="BE94"/>
      <c r="BF94"/>
      <c r="BG94"/>
      <c r="BH94"/>
      <c r="BI94"/>
      <c r="BJ94"/>
      <c r="BK94"/>
      <c r="BL94"/>
      <c r="BM94"/>
      <c r="BN94"/>
      <c r="BO94"/>
      <c r="BP94"/>
      <c r="BQ94" s="157"/>
    </row>
    <row r="95" spans="1:69" ht="13.5" customHeight="1">
      <c r="A95" s="273"/>
      <c r="B95" s="273"/>
      <c r="C95" s="273"/>
      <c r="D95" s="328"/>
      <c r="E95" s="328"/>
      <c r="F95" s="328"/>
      <c r="G95" s="328"/>
      <c r="H95" s="328"/>
      <c r="I95" s="328"/>
      <c r="J95" s="328"/>
      <c r="K95" s="328"/>
      <c r="L95" s="328"/>
      <c r="M95" s="328"/>
      <c r="N95" s="328"/>
      <c r="O95" s="328"/>
      <c r="P95" s="328"/>
      <c r="Q95" s="328"/>
      <c r="R95" s="328"/>
      <c r="S95" s="328"/>
      <c r="T95" s="328"/>
      <c r="U95" s="328"/>
      <c r="V95" s="328"/>
      <c r="W95" s="328"/>
      <c r="X95" s="328"/>
      <c r="Y95" s="328"/>
      <c r="Z95" s="328"/>
      <c r="AA95" s="328"/>
      <c r="AB95" s="328"/>
      <c r="AC95" s="328"/>
      <c r="AD95" s="328"/>
      <c r="AE95" s="328"/>
      <c r="AF95" s="328"/>
      <c r="AG95" s="328"/>
      <c r="AH95" s="328"/>
      <c r="AI95" s="328"/>
      <c r="AJ95" s="328"/>
      <c r="AK95" s="328"/>
      <c r="AL95" s="328"/>
      <c r="AM95" s="328"/>
      <c r="AN95" s="329"/>
      <c r="AO95" s="329"/>
      <c r="AP95" s="280"/>
      <c r="AQ95" s="281"/>
      <c r="AR95" s="525"/>
      <c r="AS95" s="525"/>
      <c r="AU95" s="534"/>
      <c r="AV95" s="534"/>
      <c r="AW95" s="534"/>
    </row>
    <row r="96" spans="1:69" ht="13.5" customHeight="1">
      <c r="A96" s="273"/>
      <c r="B96" s="273"/>
      <c r="C96" s="273"/>
      <c r="D96" s="328"/>
      <c r="E96" s="328"/>
      <c r="F96" s="328"/>
      <c r="G96" s="328"/>
      <c r="H96" s="328"/>
      <c r="I96" s="328"/>
      <c r="J96" s="328"/>
      <c r="K96" s="328"/>
      <c r="L96" s="328"/>
      <c r="M96" s="328"/>
      <c r="N96" s="328"/>
      <c r="O96" s="328"/>
      <c r="P96" s="328"/>
      <c r="Q96" s="328"/>
      <c r="R96" s="328"/>
      <c r="S96" s="328"/>
      <c r="T96" s="328"/>
      <c r="U96" s="328"/>
      <c r="V96" s="328"/>
      <c r="W96" s="328"/>
      <c r="X96" s="328"/>
      <c r="Y96" s="328"/>
      <c r="Z96" s="328"/>
      <c r="AA96" s="328"/>
      <c r="AB96" s="328"/>
      <c r="AC96" s="328"/>
      <c r="AD96" s="328"/>
      <c r="AE96" s="328"/>
      <c r="AF96" s="328"/>
      <c r="AG96" s="328"/>
      <c r="AH96" s="328"/>
      <c r="AI96" s="328"/>
      <c r="AJ96" s="328"/>
      <c r="AK96" s="328"/>
      <c r="AL96" s="328"/>
      <c r="AM96" s="328"/>
      <c r="AN96" s="329"/>
      <c r="AO96" s="329"/>
      <c r="AP96" s="280"/>
      <c r="AQ96" s="281"/>
      <c r="AR96" s="525"/>
      <c r="AS96" s="525"/>
      <c r="AU96" s="534"/>
      <c r="AV96" s="534"/>
      <c r="AW96" s="534"/>
    </row>
    <row r="97" spans="1:69" customFormat="1" ht="13.5" customHeight="1">
      <c r="AR97" s="526"/>
      <c r="AS97" s="526"/>
      <c r="AU97" s="534"/>
      <c r="AV97" s="534"/>
      <c r="AW97" s="534"/>
    </row>
    <row r="98" spans="1:69" s="168" customFormat="1" ht="13.5" customHeight="1">
      <c r="A98" s="282" t="s">
        <v>240</v>
      </c>
      <c r="D98" s="314"/>
      <c r="E98" s="314"/>
      <c r="F98" s="314"/>
      <c r="G98" s="314"/>
      <c r="H98" s="314"/>
      <c r="I98" s="314"/>
      <c r="J98" s="314"/>
      <c r="K98" s="314"/>
      <c r="L98" s="314"/>
      <c r="M98" s="314"/>
      <c r="N98" s="314"/>
      <c r="O98" s="314"/>
      <c r="P98" s="314"/>
      <c r="Q98" s="314"/>
      <c r="R98" s="314"/>
      <c r="S98" s="314"/>
      <c r="T98" s="314"/>
      <c r="U98" s="314"/>
      <c r="V98" s="314"/>
      <c r="W98" s="314"/>
      <c r="X98" s="314"/>
      <c r="Y98" s="314"/>
      <c r="Z98" s="314"/>
      <c r="AA98" s="314"/>
      <c r="AB98" s="314"/>
      <c r="AC98" s="314"/>
      <c r="AD98" s="314"/>
      <c r="AE98" s="314"/>
      <c r="AF98" s="314"/>
      <c r="AG98" s="314"/>
      <c r="AH98" s="314"/>
      <c r="AI98" s="314"/>
      <c r="AJ98" s="314"/>
      <c r="AK98" s="314"/>
      <c r="AL98" s="314"/>
      <c r="AM98" s="314"/>
      <c r="AN98" s="330"/>
      <c r="AO98" s="330"/>
      <c r="AP98" s="284"/>
      <c r="AQ98" s="285"/>
      <c r="AR98" s="525"/>
      <c r="AS98" s="525"/>
      <c r="AT98"/>
      <c r="AU98" s="534"/>
      <c r="AV98" s="534"/>
      <c r="AW98" s="534"/>
      <c r="AX98"/>
      <c r="AY98"/>
      <c r="AZ98"/>
      <c r="BA98"/>
      <c r="BB98"/>
      <c r="BC98"/>
      <c r="BD98"/>
      <c r="BE98"/>
      <c r="BF98"/>
      <c r="BG98"/>
      <c r="BH98"/>
      <c r="BI98"/>
      <c r="BJ98"/>
      <c r="BK98"/>
      <c r="BL98"/>
      <c r="BM98"/>
      <c r="BN98"/>
      <c r="BO98"/>
      <c r="BP98"/>
      <c r="BQ98" s="157"/>
    </row>
    <row r="99" spans="1:69" customFormat="1" ht="13.5" customHeight="1">
      <c r="AR99" s="526"/>
      <c r="AS99" s="526"/>
      <c r="AU99" s="534"/>
      <c r="AV99" s="534"/>
      <c r="AW99" s="534"/>
    </row>
    <row r="100" spans="1:69" ht="13.5" customHeight="1">
      <c r="A100" s="286" t="s">
        <v>22</v>
      </c>
      <c r="B100" s="287"/>
      <c r="C100" s="287"/>
      <c r="D100" s="331">
        <f>D65</f>
        <v>442851</v>
      </c>
      <c r="E100" s="331"/>
      <c r="F100" s="331"/>
      <c r="G100" s="331">
        <f>G65</f>
        <v>431076</v>
      </c>
      <c r="H100" s="331"/>
      <c r="I100" s="331"/>
      <c r="J100" s="331">
        <f>J65</f>
        <v>636198</v>
      </c>
      <c r="K100" s="331"/>
      <c r="L100" s="331"/>
      <c r="M100" s="331">
        <f>M65</f>
        <v>465386</v>
      </c>
      <c r="N100" s="331"/>
      <c r="O100" s="331"/>
      <c r="P100" s="331">
        <f>P65</f>
        <v>426791</v>
      </c>
      <c r="Q100" s="331"/>
      <c r="R100" s="331"/>
      <c r="S100" s="331">
        <f>S65</f>
        <v>459706</v>
      </c>
      <c r="T100" s="331"/>
      <c r="U100" s="331"/>
      <c r="V100" s="331">
        <f>V65</f>
        <v>420401</v>
      </c>
      <c r="W100" s="331"/>
      <c r="X100" s="331"/>
      <c r="Y100" s="331">
        <f>Y65</f>
        <v>432451</v>
      </c>
      <c r="Z100" s="331"/>
      <c r="AA100" s="331"/>
      <c r="AB100" s="331">
        <f>AB65</f>
        <v>584241</v>
      </c>
      <c r="AC100" s="331"/>
      <c r="AD100" s="331"/>
      <c r="AE100" s="331">
        <f>AE65</f>
        <v>480731</v>
      </c>
      <c r="AF100" s="331"/>
      <c r="AG100" s="331"/>
      <c r="AH100" s="331">
        <f>AH65</f>
        <v>446611</v>
      </c>
      <c r="AI100" s="331"/>
      <c r="AJ100" s="331"/>
      <c r="AK100" s="331">
        <f>AK65</f>
        <v>459931</v>
      </c>
      <c r="AL100" s="331"/>
      <c r="AM100" s="331"/>
      <c r="AN100" s="332">
        <f>AN65</f>
        <v>5686374</v>
      </c>
      <c r="AO100" s="332"/>
      <c r="AP100" s="292"/>
      <c r="AQ100" s="293"/>
      <c r="AR100" s="525"/>
      <c r="AS100" s="525"/>
      <c r="AU100" s="534"/>
      <c r="AV100" s="534"/>
      <c r="AW100" s="534"/>
    </row>
    <row r="101" spans="1:69" ht="13.5" customHeight="1">
      <c r="A101" s="286" t="s">
        <v>241</v>
      </c>
      <c r="B101" s="287"/>
      <c r="C101" s="287"/>
      <c r="D101" s="331">
        <f t="shared" ref="D101:AN101" si="75">D93</f>
        <v>0</v>
      </c>
      <c r="E101" s="331"/>
      <c r="F101" s="331"/>
      <c r="G101" s="331">
        <f t="shared" si="75"/>
        <v>0</v>
      </c>
      <c r="H101" s="331"/>
      <c r="I101" s="331"/>
      <c r="J101" s="331">
        <f t="shared" si="75"/>
        <v>0</v>
      </c>
      <c r="K101" s="331"/>
      <c r="L101" s="331"/>
      <c r="M101" s="331">
        <f t="shared" si="75"/>
        <v>0</v>
      </c>
      <c r="N101" s="331"/>
      <c r="O101" s="331"/>
      <c r="P101" s="331">
        <f t="shared" si="75"/>
        <v>3500</v>
      </c>
      <c r="Q101" s="331"/>
      <c r="R101" s="331"/>
      <c r="S101" s="331">
        <f t="shared" si="75"/>
        <v>10010000</v>
      </c>
      <c r="T101" s="331"/>
      <c r="U101" s="331"/>
      <c r="V101" s="331">
        <f t="shared" si="75"/>
        <v>117800</v>
      </c>
      <c r="W101" s="331"/>
      <c r="X101" s="331"/>
      <c r="Y101" s="331">
        <f t="shared" si="75"/>
        <v>93400</v>
      </c>
      <c r="Z101" s="331"/>
      <c r="AA101" s="331"/>
      <c r="AB101" s="331">
        <f t="shared" si="75"/>
        <v>93400</v>
      </c>
      <c r="AC101" s="331"/>
      <c r="AD101" s="331"/>
      <c r="AE101" s="331">
        <f t="shared" si="75"/>
        <v>253400</v>
      </c>
      <c r="AF101" s="331"/>
      <c r="AG101" s="331"/>
      <c r="AH101" s="331">
        <f t="shared" si="75"/>
        <v>23400</v>
      </c>
      <c r="AI101" s="331"/>
      <c r="AJ101" s="331"/>
      <c r="AK101" s="331">
        <f t="shared" si="75"/>
        <v>23400</v>
      </c>
      <c r="AL101" s="331"/>
      <c r="AM101" s="331"/>
      <c r="AN101" s="332">
        <f t="shared" si="75"/>
        <v>10024150</v>
      </c>
      <c r="AO101" s="332"/>
      <c r="AP101" s="292"/>
      <c r="AQ101" s="293"/>
      <c r="AR101" s="525"/>
      <c r="AS101" s="525"/>
      <c r="AU101" s="534"/>
      <c r="AV101" s="534"/>
      <c r="AW101" s="534"/>
    </row>
    <row r="102" spans="1:69" ht="13.5" customHeight="1">
      <c r="A102" s="286" t="s">
        <v>242</v>
      </c>
      <c r="B102" s="287"/>
      <c r="C102" s="287"/>
      <c r="D102" s="331">
        <f>SUM(D95:D96)</f>
        <v>0</v>
      </c>
      <c r="E102" s="331"/>
      <c r="F102" s="331"/>
      <c r="G102" s="331">
        <f>SUM(G95:G96)</f>
        <v>0</v>
      </c>
      <c r="H102" s="331"/>
      <c r="I102" s="331"/>
      <c r="J102" s="331">
        <f>SUM(J95:J96)</f>
        <v>0</v>
      </c>
      <c r="K102" s="331"/>
      <c r="L102" s="331"/>
      <c r="M102" s="331">
        <f>SUM(M95:M96)</f>
        <v>0</v>
      </c>
      <c r="N102" s="331"/>
      <c r="O102" s="331"/>
      <c r="P102" s="331">
        <f>SUM(P95:P96)</f>
        <v>0</v>
      </c>
      <c r="Q102" s="331"/>
      <c r="R102" s="331"/>
      <c r="S102" s="331">
        <f>SUM(S95:S96)</f>
        <v>0</v>
      </c>
      <c r="T102" s="331"/>
      <c r="U102" s="331"/>
      <c r="V102" s="331">
        <f>SUM(V95:V96)</f>
        <v>0</v>
      </c>
      <c r="W102" s="331"/>
      <c r="X102" s="331"/>
      <c r="Y102" s="331">
        <f>SUM(Y95:Y96)</f>
        <v>0</v>
      </c>
      <c r="Z102" s="331"/>
      <c r="AA102" s="331"/>
      <c r="AB102" s="331">
        <f>SUM(AB95:AB96)</f>
        <v>0</v>
      </c>
      <c r="AC102" s="331"/>
      <c r="AD102" s="331"/>
      <c r="AE102" s="331">
        <f>SUM(AE95:AE96)</f>
        <v>0</v>
      </c>
      <c r="AF102" s="331"/>
      <c r="AG102" s="331"/>
      <c r="AH102" s="331">
        <f>SUM(AH95:AH96)</f>
        <v>0</v>
      </c>
      <c r="AI102" s="331"/>
      <c r="AJ102" s="331"/>
      <c r="AK102" s="331">
        <f>SUM(AK95:AK96)</f>
        <v>0</v>
      </c>
      <c r="AL102" s="331"/>
      <c r="AM102" s="331"/>
      <c r="AN102" s="332">
        <f>SUM(D102:AK102)</f>
        <v>0</v>
      </c>
      <c r="AO102" s="332"/>
      <c r="AP102" s="292"/>
      <c r="AQ102" s="293"/>
      <c r="AR102" s="525"/>
      <c r="AS102" s="525"/>
      <c r="AU102" s="534"/>
      <c r="AV102" s="534"/>
      <c r="AW102" s="534"/>
    </row>
    <row r="103" spans="1:69" ht="13.5" customHeight="1">
      <c r="A103" s="286" t="s">
        <v>243</v>
      </c>
      <c r="B103" s="287"/>
      <c r="C103" s="287"/>
      <c r="D103" s="331">
        <f t="shared" ref="D103:AK103" si="76">D100+D101+D102</f>
        <v>442851</v>
      </c>
      <c r="E103" s="331"/>
      <c r="F103" s="331"/>
      <c r="G103" s="331">
        <f t="shared" si="76"/>
        <v>431076</v>
      </c>
      <c r="H103" s="331"/>
      <c r="I103" s="331"/>
      <c r="J103" s="331">
        <f t="shared" si="76"/>
        <v>636198</v>
      </c>
      <c r="K103" s="331"/>
      <c r="L103" s="331"/>
      <c r="M103" s="331">
        <f t="shared" si="76"/>
        <v>465386</v>
      </c>
      <c r="N103" s="331"/>
      <c r="O103" s="331"/>
      <c r="P103" s="331">
        <f t="shared" si="76"/>
        <v>430291</v>
      </c>
      <c r="Q103" s="331"/>
      <c r="R103" s="331"/>
      <c r="S103" s="331">
        <f t="shared" si="76"/>
        <v>10469706</v>
      </c>
      <c r="T103" s="331"/>
      <c r="U103" s="331"/>
      <c r="V103" s="331">
        <f t="shared" si="76"/>
        <v>538201</v>
      </c>
      <c r="W103" s="331"/>
      <c r="X103" s="331"/>
      <c r="Y103" s="331">
        <f t="shared" si="76"/>
        <v>525851</v>
      </c>
      <c r="Z103" s="331"/>
      <c r="AA103" s="331"/>
      <c r="AB103" s="331">
        <f t="shared" si="76"/>
        <v>677641</v>
      </c>
      <c r="AC103" s="331"/>
      <c r="AD103" s="331"/>
      <c r="AE103" s="331">
        <f t="shared" si="76"/>
        <v>734131</v>
      </c>
      <c r="AF103" s="331"/>
      <c r="AG103" s="331"/>
      <c r="AH103" s="331">
        <f t="shared" si="76"/>
        <v>470011</v>
      </c>
      <c r="AI103" s="331"/>
      <c r="AJ103" s="331"/>
      <c r="AK103" s="331">
        <f t="shared" si="76"/>
        <v>483331</v>
      </c>
      <c r="AL103" s="331"/>
      <c r="AM103" s="331"/>
      <c r="AN103" s="332">
        <f>SUM(D103:AK103)</f>
        <v>16304674</v>
      </c>
      <c r="AO103" s="332"/>
      <c r="AP103" s="292"/>
      <c r="AQ103" s="293"/>
      <c r="AR103" s="525"/>
      <c r="AS103" s="525"/>
      <c r="AU103" s="534"/>
      <c r="AV103" s="534"/>
      <c r="AW103" s="534"/>
    </row>
    <row r="104" spans="1:69" s="168" customFormat="1" ht="13.5" customHeight="1">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c r="AA104" s="314"/>
      <c r="AB104" s="314"/>
      <c r="AC104" s="314"/>
      <c r="AD104" s="314"/>
      <c r="AE104" s="314"/>
      <c r="AF104" s="314"/>
      <c r="AG104" s="314"/>
      <c r="AH104" s="314"/>
      <c r="AI104" s="314"/>
      <c r="AJ104" s="314"/>
      <c r="AK104" s="314"/>
      <c r="AL104" s="314"/>
      <c r="AM104" s="314"/>
      <c r="AN104" s="323"/>
      <c r="AO104" s="323"/>
      <c r="AP104" s="284"/>
      <c r="AR104" s="525"/>
      <c r="AS104" s="525"/>
      <c r="AT104"/>
      <c r="AU104" s="534"/>
      <c r="AV104" s="534"/>
      <c r="AW104" s="534"/>
      <c r="AX104"/>
      <c r="AY104"/>
      <c r="AZ104"/>
      <c r="BA104"/>
      <c r="BB104"/>
      <c r="BC104"/>
      <c r="BD104"/>
      <c r="BE104"/>
      <c r="BF104"/>
      <c r="BG104"/>
      <c r="BH104"/>
      <c r="BI104"/>
      <c r="BJ104"/>
      <c r="BK104"/>
      <c r="BL104"/>
      <c r="BM104"/>
      <c r="BN104"/>
      <c r="BO104"/>
      <c r="BP104"/>
      <c r="BQ104" s="157"/>
    </row>
    <row r="105" spans="1:69" ht="13.5" customHeight="1">
      <c r="A105" s="216" t="s">
        <v>21</v>
      </c>
      <c r="B105" s="216"/>
      <c r="C105" s="216"/>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4"/>
      <c r="AO105" s="334"/>
      <c r="AP105" s="295"/>
      <c r="AQ105" s="296"/>
      <c r="AR105" t="inlineStr">
        <is>
          <t>Staffing-Secured</t>
        </is>
      </c>
      <c r="AS105" s="525"/>
      <c r="AU105" s="534"/>
      <c r="AV105" s="534"/>
      <c r="AW105" s="534"/>
    </row>
    <row r="106" spans="1:69" ht="13.5" customHeight="1">
      <c r="A106" s="507" t="s">
        <v>28</v>
      </c>
      <c r="B106" s="507" t="s">
        <v>29</v>
      </c>
      <c r="C106" s="507" t="s">
        <v>21</v>
      </c>
      <c r="D106" s="508">
        <v>22692</v>
      </c>
      <c r="E106" s="508"/>
      <c r="F106" s="508">
        <v>1604.56</v>
      </c>
      <c r="G106" s="508">
        <v>19728</v>
      </c>
      <c r="H106" s="508"/>
      <c r="I106" s="508">
        <v>2644.7040000000002</v>
      </c>
      <c r="J106" s="508">
        <v>24112</v>
      </c>
      <c r="K106" s="508"/>
      <c r="L106" s="508">
        <v>3232.42</v>
      </c>
      <c r="M106" s="508">
        <v>24112</v>
      </c>
      <c r="N106" s="508"/>
      <c r="O106" s="508">
        <v>3232.42</v>
      </c>
      <c r="P106" s="509">
        <v>22194</v>
      </c>
      <c r="Q106" s="508"/>
      <c r="R106" s="508">
        <v>1607</v>
      </c>
      <c r="S106" s="508">
        <v>22194</v>
      </c>
      <c r="T106" s="508"/>
      <c r="U106" s="508">
        <v>1607</v>
      </c>
      <c r="V106" s="508">
        <v>20276</v>
      </c>
      <c r="W106" s="508"/>
      <c r="X106" s="508">
        <v>1541</v>
      </c>
      <c r="Y106" s="508">
        <v>23290</v>
      </c>
      <c r="Z106" s="508"/>
      <c r="AA106" s="508">
        <v>1644</v>
      </c>
      <c r="AB106" s="508">
        <v>20139</v>
      </c>
      <c r="AC106" s="508"/>
      <c r="AD106" s="508">
        <v>1536</v>
      </c>
      <c r="AE106" s="508">
        <v>22194</v>
      </c>
      <c r="AF106" s="508"/>
      <c r="AG106" s="508">
        <v>1607</v>
      </c>
      <c r="AH106" s="508">
        <v>20139</v>
      </c>
      <c r="AI106" s="508"/>
      <c r="AJ106" s="508">
        <v>1536</v>
      </c>
      <c r="AK106" s="508">
        <v>19180</v>
      </c>
      <c r="AL106" s="508"/>
      <c r="AM106" s="508">
        <v>1504</v>
      </c>
      <c r="AN106" s="508" cm="1">
        <f t="array" ref="AN106">SUMPRODUCT((D$1:AK$1&lt;&gt;"Margin")*(D$1:AK$1&lt;&gt;"Salary_$600")*D106:AK106)</f>
        <v>260250</v>
      </c>
      <c r="AO106" s="510" cm="1">
        <f t="array" ref="AO106">SUMPRODUCT((D$1:AM$1="Margin")*D106:AM106)</f>
        <v>23296.103999999999</v>
      </c>
      <c r="AP106" s="511" t="s">
        <v>37</v>
      </c>
      <c r="AQ106" s="512" t="s">
        <v>31</v>
      </c>
      <c r="AR106" s="525" t="s">
        <v>32</v>
      </c>
      <c r="AS106" s="525" t="s">
        <v>244</v>
      </c>
      <c r="AU106" s="535">
        <v>1708784</v>
      </c>
      <c r="AV106" s="535">
        <v>1544346</v>
      </c>
      <c r="AW106" s="535">
        <v>335532</v>
      </c>
    </row>
    <row r="107" spans="1:69" ht="13.5" customHeight="1">
      <c r="A107" s="507" t="s">
        <v>34</v>
      </c>
      <c r="B107" s="507" t="s">
        <v>29</v>
      </c>
      <c r="C107" s="507" t="s">
        <v>21</v>
      </c>
      <c r="D107" s="508">
        <v>12000</v>
      </c>
      <c r="E107" s="508"/>
      <c r="F107" s="508">
        <v>640</v>
      </c>
      <c r="G107" s="508">
        <v>11400</v>
      </c>
      <c r="H107" s="508"/>
      <c r="I107" s="508">
        <v>1611.2</v>
      </c>
      <c r="J107" s="508">
        <v>13200</v>
      </c>
      <c r="K107" s="508"/>
      <c r="L107" s="508">
        <v>1866</v>
      </c>
      <c r="M107" s="508">
        <v>13200</v>
      </c>
      <c r="N107" s="508"/>
      <c r="O107" s="508">
        <v>1865.6</v>
      </c>
      <c r="P107" s="509">
        <v>12150</v>
      </c>
      <c r="Q107" s="508"/>
      <c r="R107" s="508">
        <v>648</v>
      </c>
      <c r="S107" s="508">
        <v>12150</v>
      </c>
      <c r="T107" s="508"/>
      <c r="U107" s="508">
        <v>648</v>
      </c>
      <c r="V107" s="508">
        <v>11100</v>
      </c>
      <c r="W107" s="508"/>
      <c r="X107" s="508">
        <v>592</v>
      </c>
      <c r="Y107" s="508">
        <v>12750</v>
      </c>
      <c r="Z107" s="508"/>
      <c r="AA107" s="508">
        <v>680</v>
      </c>
      <c r="AB107" s="508">
        <v>11025</v>
      </c>
      <c r="AC107" s="508"/>
      <c r="AD107" s="508">
        <v>588</v>
      </c>
      <c r="AE107" s="508">
        <v>12150</v>
      </c>
      <c r="AF107" s="508"/>
      <c r="AG107" s="508">
        <v>648</v>
      </c>
      <c r="AH107" s="508">
        <v>11025</v>
      </c>
      <c r="AI107" s="508"/>
      <c r="AJ107" s="508">
        <v>588</v>
      </c>
      <c r="AK107" s="508">
        <v>10500</v>
      </c>
      <c r="AL107" s="508"/>
      <c r="AM107" s="508">
        <v>560</v>
      </c>
      <c r="AN107" s="508" cm="1">
        <f t="array" ref="AN107">SUMPRODUCT((D$1:AK$1&lt;&gt;"Margin")*(D$1:AK$1&lt;&gt;"Salary_$600")*D107:AK107)</f>
        <v>142650</v>
      </c>
      <c r="AO107" s="510" cm="1">
        <f t="array" ref="AO107">SUMPRODUCT((D$1:AM$1="Margin")*D107:AM107)</f>
        <v>10934.8</v>
      </c>
      <c r="AP107" s="511" t="s">
        <v>35</v>
      </c>
      <c r="AQ107" s="512" t="s">
        <v>31</v>
      </c>
      <c r="AR107" s="525" t="s">
        <v>32</v>
      </c>
      <c r="AS107" s="525" t="s">
        <v>244</v>
      </c>
      <c r="AU107" s="534"/>
      <c r="AV107" s="534"/>
      <c r="AW107" s="534"/>
    </row>
    <row r="108" spans="1:69" ht="13.5" customHeight="1">
      <c r="A108" s="507" t="s">
        <v>36</v>
      </c>
      <c r="B108" s="507" t="s">
        <v>29</v>
      </c>
      <c r="C108" s="507" t="s">
        <v>21</v>
      </c>
      <c r="D108" s="508">
        <v>12096</v>
      </c>
      <c r="E108" s="508"/>
      <c r="F108" s="508">
        <v>1176</v>
      </c>
      <c r="G108" s="508">
        <v>8064</v>
      </c>
      <c r="H108" s="508"/>
      <c r="I108" s="508">
        <v>943.2</v>
      </c>
      <c r="J108" s="508">
        <v>12096</v>
      </c>
      <c r="K108" s="508"/>
      <c r="L108" s="508">
        <v>1176</v>
      </c>
      <c r="M108" s="508">
        <v>11088</v>
      </c>
      <c r="N108" s="508"/>
      <c r="O108" s="508">
        <v>1078</v>
      </c>
      <c r="P108" s="509">
        <v>11664</v>
      </c>
      <c r="Q108" s="508"/>
      <c r="R108" s="508">
        <v>1134</v>
      </c>
      <c r="S108" s="508">
        <v>11664</v>
      </c>
      <c r="T108" s="508"/>
      <c r="U108" s="508">
        <v>1134</v>
      </c>
      <c r="V108" s="508">
        <v>10656</v>
      </c>
      <c r="W108" s="508"/>
      <c r="X108" s="508">
        <v>1036</v>
      </c>
      <c r="Y108" s="508">
        <v>12240</v>
      </c>
      <c r="Z108" s="508"/>
      <c r="AA108" s="508">
        <v>1190</v>
      </c>
      <c r="AB108" s="508">
        <v>10584</v>
      </c>
      <c r="AC108" s="508"/>
      <c r="AD108" s="508">
        <v>1029</v>
      </c>
      <c r="AE108" s="508">
        <v>11664</v>
      </c>
      <c r="AF108" s="508"/>
      <c r="AG108" s="508">
        <v>1134</v>
      </c>
      <c r="AH108" s="508">
        <v>10584</v>
      </c>
      <c r="AI108" s="508"/>
      <c r="AJ108" s="508">
        <v>1029</v>
      </c>
      <c r="AK108" s="508">
        <v>10080</v>
      </c>
      <c r="AL108" s="508"/>
      <c r="AM108" s="508">
        <v>980</v>
      </c>
      <c r="AN108" s="508" cm="1">
        <f t="array" ref="AN108">SUMPRODUCT((D$1:AK$1&lt;&gt;"Margin")*(D$1:AK$1&lt;&gt;"Salary_$600")*D108:AK108)</f>
        <v>132480</v>
      </c>
      <c r="AO108" s="510" cm="1">
        <f t="array" ref="AO108">SUMPRODUCT((D$1:AM$1="Margin")*D108:AM108)</f>
        <v>13039.2</v>
      </c>
      <c r="AP108" s="511" t="s">
        <v>37</v>
      </c>
      <c r="AQ108" s="512" t="s">
        <v>31</v>
      </c>
      <c r="AR108" s="525" t="s">
        <v>32</v>
      </c>
      <c r="AS108" s="525" t="s">
        <v>244</v>
      </c>
      <c r="AU108" s="534"/>
      <c r="AV108" s="534"/>
      <c r="AW108" s="534"/>
    </row>
    <row r="109" spans="1:69" ht="13.5" customHeight="1">
      <c r="A109" s="507" t="s">
        <v>38</v>
      </c>
      <c r="B109" s="507" t="s">
        <v>29</v>
      </c>
      <c r="C109" s="507" t="s">
        <v>21</v>
      </c>
      <c r="D109" s="508">
        <v>14708</v>
      </c>
      <c r="E109" s="508"/>
      <c r="F109" s="508">
        <v>700.27</v>
      </c>
      <c r="G109" s="508">
        <v>12308</v>
      </c>
      <c r="H109" s="508"/>
      <c r="I109" s="508">
        <v>1308</v>
      </c>
      <c r="J109" s="508">
        <v>13538.8</v>
      </c>
      <c r="K109" s="508"/>
      <c r="L109" s="508">
        <v>1438.8</v>
      </c>
      <c r="M109" s="508">
        <v>13538</v>
      </c>
      <c r="N109" s="508"/>
      <c r="O109" s="508">
        <v>1438.8</v>
      </c>
      <c r="P109" s="509">
        <v>19939</v>
      </c>
      <c r="Q109" s="508"/>
      <c r="R109" s="508">
        <v>949</v>
      </c>
      <c r="S109" s="508">
        <v>19939</v>
      </c>
      <c r="T109" s="508"/>
      <c r="U109" s="508">
        <v>949</v>
      </c>
      <c r="V109" s="508">
        <v>18216</v>
      </c>
      <c r="W109" s="508"/>
      <c r="X109" s="508">
        <v>867</v>
      </c>
      <c r="Y109" s="508">
        <v>20924</v>
      </c>
      <c r="Z109" s="508"/>
      <c r="AA109" s="508">
        <v>996</v>
      </c>
      <c r="AB109" s="508">
        <v>18093</v>
      </c>
      <c r="AC109" s="508"/>
      <c r="AD109" s="508">
        <v>861</v>
      </c>
      <c r="AE109" s="508">
        <v>19939</v>
      </c>
      <c r="AF109" s="508"/>
      <c r="AG109" s="508">
        <v>949</v>
      </c>
      <c r="AH109" s="508">
        <v>18093</v>
      </c>
      <c r="AI109" s="508"/>
      <c r="AJ109" s="508">
        <v>861</v>
      </c>
      <c r="AK109" s="508">
        <v>17231</v>
      </c>
      <c r="AL109" s="508"/>
      <c r="AM109" s="508">
        <v>820</v>
      </c>
      <c r="AN109" s="508" cm="1">
        <f t="array" ref="AN109">SUMPRODUCT((D$1:AK$1&lt;&gt;"Margin")*(D$1:AK$1&lt;&gt;"Salary_$600")*D109:AK109)</f>
        <v>206466.8</v>
      </c>
      <c r="AO109" s="510" cm="1">
        <f t="array" ref="AO109">SUMPRODUCT((D$1:AM$1="Margin")*D109:AM109)</f>
        <v>12137.869999999999</v>
      </c>
      <c r="AP109" s="511" t="s">
        <v>37</v>
      </c>
      <c r="AQ109" s="512" t="s">
        <v>31</v>
      </c>
      <c r="AR109" s="525" t="s">
        <v>32</v>
      </c>
      <c r="AS109" s="525" t="s">
        <v>244</v>
      </c>
      <c r="AU109" s="534"/>
      <c r="AV109" s="534"/>
      <c r="AW109" s="534"/>
    </row>
    <row r="110" spans="1:69" ht="13.5" customHeight="1">
      <c r="A110" s="507" t="s">
        <v>40</v>
      </c>
      <c r="B110" s="507" t="s">
        <v>29</v>
      </c>
      <c r="C110" s="507" t="s">
        <v>21</v>
      </c>
      <c r="D110" s="508">
        <v>33592</v>
      </c>
      <c r="E110" s="508"/>
      <c r="F110" s="508">
        <v>2196</v>
      </c>
      <c r="G110" s="508">
        <v>30856</v>
      </c>
      <c r="H110" s="508"/>
      <c r="I110" s="508">
        <v>3424.66</v>
      </c>
      <c r="J110" s="508">
        <v>36328</v>
      </c>
      <c r="K110" s="508"/>
      <c r="L110" s="508">
        <v>3496.68</v>
      </c>
      <c r="M110" s="508">
        <v>36784</v>
      </c>
      <c r="N110" s="508"/>
      <c r="O110" s="508">
        <v>4095.08</v>
      </c>
      <c r="P110" s="509">
        <v>33858</v>
      </c>
      <c r="Q110" s="508"/>
      <c r="R110" s="508">
        <v>2187</v>
      </c>
      <c r="S110" s="508">
        <v>33858</v>
      </c>
      <c r="T110" s="508"/>
      <c r="U110" s="508">
        <v>2187</v>
      </c>
      <c r="V110" s="508">
        <v>30932</v>
      </c>
      <c r="W110" s="508"/>
      <c r="X110" s="508">
        <v>1998</v>
      </c>
      <c r="Y110" s="508">
        <v>35530</v>
      </c>
      <c r="Z110" s="508"/>
      <c r="AA110" s="508">
        <v>2295</v>
      </c>
      <c r="AB110" s="508">
        <v>30723</v>
      </c>
      <c r="AC110" s="508"/>
      <c r="AD110" s="508">
        <v>1985</v>
      </c>
      <c r="AE110" s="508">
        <v>33858</v>
      </c>
      <c r="AF110" s="508"/>
      <c r="AG110" s="508">
        <v>2187</v>
      </c>
      <c r="AH110" s="508">
        <v>30723</v>
      </c>
      <c r="AI110" s="508"/>
      <c r="AJ110" s="508">
        <v>1985</v>
      </c>
      <c r="AK110" s="508">
        <v>29260</v>
      </c>
      <c r="AL110" s="508"/>
      <c r="AM110" s="508">
        <v>1890</v>
      </c>
      <c r="AN110" s="508" cm="1">
        <f t="array" ref="AN110">SUMPRODUCT((D$1:AK$1&lt;&gt;"Margin")*(D$1:AK$1&lt;&gt;"Salary_$600")*D110:AK110)</f>
        <v>396302</v>
      </c>
      <c r="AO110" s="510" cm="1">
        <f t="array" ref="AO110">SUMPRODUCT((D$1:AM$1="Margin")*D110:AM110)</f>
        <v>29926.42</v>
      </c>
      <c r="AP110" s="511" t="s">
        <v>37</v>
      </c>
      <c r="AQ110" s="512" t="s">
        <v>31</v>
      </c>
      <c r="AR110" s="525" t="s">
        <v>32</v>
      </c>
      <c r="AS110" s="525" t="s">
        <v>244</v>
      </c>
      <c r="AU110" s="534"/>
      <c r="AV110" s="534"/>
      <c r="AW110" s="534"/>
    </row>
    <row r="111" spans="1:69" ht="13.5" customHeight="1">
      <c r="A111" s="507" t="s">
        <v>41</v>
      </c>
      <c r="B111" s="507" t="s">
        <v>29</v>
      </c>
      <c r="C111" s="507" t="s">
        <v>21</v>
      </c>
      <c r="D111" s="508">
        <v>14440</v>
      </c>
      <c r="E111" s="508"/>
      <c r="F111" s="508">
        <v>1520</v>
      </c>
      <c r="G111" s="508">
        <v>12920</v>
      </c>
      <c r="H111" s="508"/>
      <c r="I111" s="508">
        <v>1360</v>
      </c>
      <c r="J111" s="508">
        <v>15960</v>
      </c>
      <c r="K111" s="508"/>
      <c r="L111" s="508">
        <v>1680</v>
      </c>
      <c r="M111" s="508">
        <v>15580</v>
      </c>
      <c r="N111" s="508"/>
      <c r="O111" s="508">
        <v>1640</v>
      </c>
      <c r="P111" s="509">
        <v>15390</v>
      </c>
      <c r="Q111" s="508"/>
      <c r="R111" s="508">
        <v>1620</v>
      </c>
      <c r="S111" s="508">
        <v>15390</v>
      </c>
      <c r="T111" s="508"/>
      <c r="U111" s="508">
        <v>1620</v>
      </c>
      <c r="V111" s="508">
        <v>14060</v>
      </c>
      <c r="W111" s="508"/>
      <c r="X111" s="508">
        <v>1480</v>
      </c>
      <c r="Y111" s="508">
        <v>16150</v>
      </c>
      <c r="Z111" s="508"/>
      <c r="AA111" s="508">
        <v>1700</v>
      </c>
      <c r="AB111" s="508">
        <v>13965</v>
      </c>
      <c r="AC111" s="508"/>
      <c r="AD111" s="508">
        <v>1470</v>
      </c>
      <c r="AE111" s="508">
        <v>15390</v>
      </c>
      <c r="AF111" s="508"/>
      <c r="AG111" s="508">
        <v>1620</v>
      </c>
      <c r="AH111" s="508">
        <v>13965</v>
      </c>
      <c r="AI111" s="508"/>
      <c r="AJ111" s="508">
        <v>1470</v>
      </c>
      <c r="AK111" s="508">
        <v>13300</v>
      </c>
      <c r="AL111" s="508"/>
      <c r="AM111" s="508">
        <v>1400</v>
      </c>
      <c r="AN111" s="508" cm="1">
        <f t="array" ref="AN111">SUMPRODUCT((D$1:AK$1&lt;&gt;"Margin")*(D$1:AK$1&lt;&gt;"Salary_$600")*D111:AK111)</f>
        <v>176510</v>
      </c>
      <c r="AO111" s="510" cm="1">
        <f t="array" ref="AO111">SUMPRODUCT((D$1:AM$1="Margin")*D111:AM111)</f>
        <v>18580</v>
      </c>
      <c r="AP111" s="511" t="s">
        <v>37</v>
      </c>
      <c r="AQ111" s="512" t="s">
        <v>31</v>
      </c>
      <c r="AR111" s="525" t="s">
        <v>32</v>
      </c>
      <c r="AS111" s="525" t="s">
        <v>244</v>
      </c>
      <c r="AU111" s="534"/>
      <c r="AV111" s="534"/>
      <c r="AW111" s="534"/>
    </row>
    <row r="112" spans="1:69" customFormat="1" ht="13.5" customHeight="1">
      <c r="A112" s="522"/>
      <c r="B112" s="522"/>
      <c r="C112" s="522"/>
      <c r="D112" s="522"/>
      <c r="E112" s="522"/>
      <c r="F112" s="522"/>
      <c r="G112" s="522"/>
      <c r="H112" s="522"/>
      <c r="I112" s="522"/>
      <c r="J112" s="522"/>
      <c r="K112" s="522"/>
      <c r="L112" s="522"/>
      <c r="M112" s="522"/>
      <c r="N112" s="522"/>
      <c r="O112" s="522"/>
      <c r="P112" s="522"/>
      <c r="Q112" s="522"/>
      <c r="R112" s="522"/>
      <c r="S112" s="522"/>
      <c r="T112" s="522"/>
      <c r="U112" s="522"/>
      <c r="V112" s="522"/>
      <c r="W112" s="522"/>
      <c r="X112" s="522"/>
      <c r="Y112" s="522"/>
      <c r="Z112" s="522"/>
      <c r="AA112" s="522"/>
      <c r="AB112" s="522"/>
      <c r="AC112" s="522"/>
      <c r="AD112" s="522"/>
      <c r="AE112" s="522"/>
      <c r="AF112" s="522"/>
      <c r="AG112" s="522"/>
      <c r="AH112" s="522"/>
      <c r="AI112" s="522"/>
      <c r="AJ112" s="522"/>
      <c r="AK112" s="522"/>
      <c r="AL112" s="522"/>
      <c r="AM112" s="522"/>
      <c r="AN112" s="522"/>
      <c r="AO112" s="522"/>
      <c r="AP112" s="523"/>
      <c r="AQ112" s="522"/>
      <c r="AR112" s="526"/>
      <c r="AS112" s="526"/>
      <c r="AU112" s="534"/>
      <c r="AV112" s="534"/>
      <c r="AW112" s="534"/>
    </row>
    <row r="113" spans="1:69" ht="13.5" customHeight="1">
      <c r="A113" s="507" t="s">
        <v>42</v>
      </c>
      <c r="B113" s="507" t="s">
        <v>43</v>
      </c>
      <c r="C113" s="507" t="s">
        <v>21</v>
      </c>
      <c r="D113" s="508">
        <f>ROUND(1096364/90,2)</f>
        <v>12181.82</v>
      </c>
      <c r="E113" s="508">
        <f>ROUND(514559/90,2)+2400</f>
        <v>8117.32</v>
      </c>
      <c r="F113" s="508">
        <f>D113-E113</f>
        <v>4064.5</v>
      </c>
      <c r="G113" s="508">
        <f>ROUND(1020000/90,2)</f>
        <v>11333.33</v>
      </c>
      <c r="H113" s="508">
        <f>ROUND(454234/90,2)+1800</f>
        <v>6847.04</v>
      </c>
      <c r="I113" s="508">
        <f>G113-H113</f>
        <v>4486.29</v>
      </c>
      <c r="J113" s="508">
        <v>10505</v>
      </c>
      <c r="K113" s="508">
        <f>ROUND(473092/90,2)+1800</f>
        <v>7056.58</v>
      </c>
      <c r="L113" s="508">
        <f>J113-K113</f>
        <v>3448.42</v>
      </c>
      <c r="M113" s="508">
        <v>11333</v>
      </c>
      <c r="N113" s="508">
        <f>ROUND(454234/90,2)+1800</f>
        <v>6847.04</v>
      </c>
      <c r="O113" s="508">
        <f>M113-N113</f>
        <v>4485.96</v>
      </c>
      <c r="P113" s="508">
        <v>11121.69</v>
      </c>
      <c r="Q113" s="508">
        <f>ROUND(442329/90,2)+1800</f>
        <v>6714.77</v>
      </c>
      <c r="R113" s="508">
        <f>P113-Q113</f>
        <v>4406.92</v>
      </c>
      <c r="S113" s="508">
        <v>11475</v>
      </c>
      <c r="T113" s="508">
        <v>6991</v>
      </c>
      <c r="U113" s="508">
        <f>S113-T113</f>
        <v>4484</v>
      </c>
      <c r="V113" s="508">
        <v>10483</v>
      </c>
      <c r="W113" s="508">
        <v>6542</v>
      </c>
      <c r="X113" s="508">
        <f>V113-W113</f>
        <v>3941</v>
      </c>
      <c r="Y113" s="508">
        <v>12042</v>
      </c>
      <c r="Z113" s="508">
        <v>7247</v>
      </c>
      <c r="AA113" s="508">
        <f>Y113-Z113</f>
        <v>4795</v>
      </c>
      <c r="AB113" s="508">
        <v>10413</v>
      </c>
      <c r="AC113" s="508">
        <v>6510</v>
      </c>
      <c r="AD113" s="508">
        <f>AB113-AC113</f>
        <v>3903</v>
      </c>
      <c r="AE113" s="508">
        <v>11475</v>
      </c>
      <c r="AF113" s="508">
        <v>6991</v>
      </c>
      <c r="AG113" s="508">
        <f>AE113-AF113</f>
        <v>4484</v>
      </c>
      <c r="AH113" s="508">
        <v>10413</v>
      </c>
      <c r="AI113" s="508">
        <v>6510</v>
      </c>
      <c r="AJ113" s="508">
        <f>AH113-AI113</f>
        <v>3903</v>
      </c>
      <c r="AK113" s="508">
        <v>9917</v>
      </c>
      <c r="AL113" s="508">
        <v>6286</v>
      </c>
      <c r="AM113" s="508">
        <f>AK113-AL113</f>
        <v>3631</v>
      </c>
      <c r="AN113" s="508" cm="1">
        <f t="array" ref="AN113">SUMPRODUCT((D$1:AK$1&lt;&gt;"Margin")*(D$1:AK$1&lt;&gt;"Salary_$600")*D113:AK113)</f>
        <v>132692.84</v>
      </c>
      <c r="AO113" s="510" cm="1">
        <f t="array" ref="AO113">SUMPRODUCT((D$1:AM$1="Margin")*D113:AM113)</f>
        <v>50033.090000000004</v>
      </c>
      <c r="AP113" s="511" t="s">
        <v>245</v>
      </c>
      <c r="AQ113" s="512" t="s">
        <v>31</v>
      </c>
      <c r="AR113" s="525" t="s">
        <v>45</v>
      </c>
      <c r="AS113" s="525" t="s">
        <v>246</v>
      </c>
      <c r="AU113" s="535">
        <v>191096</v>
      </c>
      <c r="AV113" s="535">
        <v>214212</v>
      </c>
      <c r="AW113" s="535">
        <v>71656</v>
      </c>
    </row>
    <row r="114" spans="1:69" customFormat="1" ht="13.5" customHeight="1">
      <c r="A114" s="522"/>
      <c r="B114" s="522"/>
      <c r="C114" s="522"/>
      <c r="D114" s="522"/>
      <c r="E114" s="522"/>
      <c r="F114" s="522"/>
      <c r="G114" s="522"/>
      <c r="H114" s="522"/>
      <c r="I114" s="522"/>
      <c r="J114" s="522"/>
      <c r="K114" s="522"/>
      <c r="L114" s="522"/>
      <c r="M114" s="522"/>
      <c r="N114" s="522"/>
      <c r="O114" s="522"/>
      <c r="P114" s="522"/>
      <c r="Q114" s="522"/>
      <c r="R114" s="522"/>
      <c r="S114" s="522"/>
      <c r="T114" s="522"/>
      <c r="U114" s="522"/>
      <c r="V114" s="522"/>
      <c r="W114" s="522"/>
      <c r="X114" s="522"/>
      <c r="Y114" s="522"/>
      <c r="Z114" s="522"/>
      <c r="AA114" s="522"/>
      <c r="AB114" s="522"/>
      <c r="AC114" s="522"/>
      <c r="AD114" s="522"/>
      <c r="AE114" s="522"/>
      <c r="AF114" s="522"/>
      <c r="AG114" s="522"/>
      <c r="AH114" s="522"/>
      <c r="AI114" s="522"/>
      <c r="AJ114" s="522"/>
      <c r="AK114" s="522"/>
      <c r="AL114" s="522"/>
      <c r="AM114" s="522"/>
      <c r="AN114" s="522"/>
      <c r="AO114" s="522"/>
      <c r="AP114" s="523"/>
      <c r="AQ114" s="522"/>
      <c r="AR114" s="526"/>
      <c r="AS114" s="526"/>
      <c r="AU114" s="534"/>
      <c r="AV114" s="534"/>
      <c r="AW114" s="534"/>
    </row>
    <row r="115" spans="1:69" s="168" customFormat="1" ht="13.5" customHeight="1">
      <c r="A115" s="507" t="s">
        <v>46</v>
      </c>
      <c r="B115" s="507" t="s">
        <v>47</v>
      </c>
      <c r="C115" s="507" t="s">
        <v>21</v>
      </c>
      <c r="D115" s="508">
        <v>20976</v>
      </c>
      <c r="E115" s="508"/>
      <c r="F115" s="509">
        <v>2960</v>
      </c>
      <c r="G115" s="508">
        <v>21600</v>
      </c>
      <c r="H115" s="508"/>
      <c r="I115" s="509">
        <v>3040</v>
      </c>
      <c r="J115" s="508">
        <v>22950</v>
      </c>
      <c r="K115" s="508"/>
      <c r="L115" s="508">
        <v>2244</v>
      </c>
      <c r="M115" s="508">
        <v>23760</v>
      </c>
      <c r="N115" s="508"/>
      <c r="O115" s="508">
        <v>3344</v>
      </c>
      <c r="P115" s="509">
        <v>21600</v>
      </c>
      <c r="Q115" s="508"/>
      <c r="R115" s="508">
        <v>3040</v>
      </c>
      <c r="S115" s="508">
        <v>21870</v>
      </c>
      <c r="T115" s="508"/>
      <c r="U115" s="508">
        <v>2138</v>
      </c>
      <c r="V115" s="508">
        <v>19980</v>
      </c>
      <c r="W115" s="508"/>
      <c r="X115" s="508">
        <v>1952</v>
      </c>
      <c r="Y115" s="508">
        <v>22950</v>
      </c>
      <c r="Z115" s="508"/>
      <c r="AA115" s="508">
        <v>2244</v>
      </c>
      <c r="AB115" s="508">
        <v>19845</v>
      </c>
      <c r="AC115" s="508"/>
      <c r="AD115" s="508">
        <v>1940</v>
      </c>
      <c r="AE115" s="508">
        <v>21870</v>
      </c>
      <c r="AF115" s="508"/>
      <c r="AG115" s="508">
        <v>2138</v>
      </c>
      <c r="AH115" s="508">
        <v>19845</v>
      </c>
      <c r="AI115" s="508"/>
      <c r="AJ115" s="508">
        <v>1940</v>
      </c>
      <c r="AK115" s="508">
        <v>18900</v>
      </c>
      <c r="AL115" s="508"/>
      <c r="AM115" s="508">
        <v>1848</v>
      </c>
      <c r="AN115" s="508" cm="1">
        <f t="array" ref="AN115">SUMPRODUCT((D$1:AK$1&lt;&gt;"Margin")*(D$1:AK$1&lt;&gt;"Salary_$600")*D115:AK115)</f>
        <v>256146</v>
      </c>
      <c r="AO115" s="510" cm="1">
        <f t="array" ref="AO115">SUMPRODUCT((D$1:AM$1="Margin")*D115:AM115)</f>
        <v>28828</v>
      </c>
      <c r="AP115" s="511" t="s">
        <v>30</v>
      </c>
      <c r="AQ115" s="512" t="s">
        <v>31</v>
      </c>
      <c r="AR115" s="525" t="s">
        <v>49</v>
      </c>
      <c r="AS115" s="525" t="s">
        <v>247</v>
      </c>
      <c r="AT115"/>
      <c r="AU115" s="534" t="s">
        <v>248</v>
      </c>
      <c r="AV115" s="535">
        <v>81472</v>
      </c>
      <c r="AW115" s="535">
        <v>46272</v>
      </c>
      <c r="AX115"/>
      <c r="AY115"/>
      <c r="AZ115"/>
      <c r="BA115"/>
      <c r="BB115"/>
      <c r="BC115"/>
      <c r="BD115"/>
      <c r="BE115"/>
      <c r="BF115"/>
      <c r="BG115"/>
      <c r="BH115"/>
      <c r="BI115"/>
      <c r="BJ115"/>
      <c r="BK115"/>
      <c r="BL115"/>
      <c r="BM115"/>
      <c r="BN115"/>
      <c r="BO115"/>
      <c r="BP115"/>
      <c r="BQ115" s="157"/>
    </row>
    <row r="116" spans="1:69" ht="13.5" customHeight="1">
      <c r="A116" s="507" t="s">
        <v>50</v>
      </c>
      <c r="B116" s="507" t="s">
        <v>29</v>
      </c>
      <c r="C116" s="507" t="s">
        <v>21</v>
      </c>
      <c r="D116" s="508">
        <v>15360</v>
      </c>
      <c r="E116" s="509"/>
      <c r="F116" s="509">
        <v>4960</v>
      </c>
      <c r="G116" s="508">
        <v>13056</v>
      </c>
      <c r="H116" s="509"/>
      <c r="I116" s="509">
        <v>2890</v>
      </c>
      <c r="J116" s="508">
        <v>16128</v>
      </c>
      <c r="K116" s="509"/>
      <c r="L116" s="509">
        <v>3570</v>
      </c>
      <c r="M116" s="508">
        <v>16896</v>
      </c>
      <c r="N116" s="509"/>
      <c r="O116" s="509">
        <v>3740</v>
      </c>
      <c r="P116" s="509">
        <v>16128</v>
      </c>
      <c r="Q116" s="509"/>
      <c r="R116" s="509">
        <v>3570</v>
      </c>
      <c r="S116" s="509">
        <v>15552</v>
      </c>
      <c r="T116" s="509"/>
      <c r="U116" s="509">
        <v>3442</v>
      </c>
      <c r="V116" s="509">
        <v>14208</v>
      </c>
      <c r="W116" s="509"/>
      <c r="X116" s="509">
        <v>3145</v>
      </c>
      <c r="Y116" s="509">
        <v>16320</v>
      </c>
      <c r="Z116" s="509"/>
      <c r="AA116" s="509">
        <v>3612</v>
      </c>
      <c r="AB116" s="509">
        <v>14112</v>
      </c>
      <c r="AC116" s="509"/>
      <c r="AD116" s="509">
        <v>3123</v>
      </c>
      <c r="AE116" s="509">
        <v>15552</v>
      </c>
      <c r="AF116" s="509"/>
      <c r="AG116" s="509">
        <v>3442</v>
      </c>
      <c r="AH116" s="509">
        <v>14112</v>
      </c>
      <c r="AI116" s="509"/>
      <c r="AJ116" s="509">
        <v>3123</v>
      </c>
      <c r="AK116" s="509">
        <v>13440</v>
      </c>
      <c r="AL116" s="509"/>
      <c r="AM116" s="509">
        <v>2975</v>
      </c>
      <c r="AN116" s="509" cm="1">
        <f t="array" ref="AN116">SUMPRODUCT((D$1:AK$1&lt;&gt;"Margin")*(D$1:AK$1&lt;&gt;"Salary_$600")*D116:AK116)</f>
        <v>180864</v>
      </c>
      <c r="AO116" s="510" cm="1">
        <f t="array" ref="AO116">SUMPRODUCT((D$1:AM$1="Margin")*D116:AM116)</f>
        <v>41592</v>
      </c>
      <c r="AP116" s="511" t="s">
        <v>249</v>
      </c>
      <c r="AQ116" s="513" t="s">
        <v>31</v>
      </c>
      <c r="AR116" s="525" t="s">
        <v>52</v>
      </c>
      <c r="AS116" s="525" t="s">
        <v>247</v>
      </c>
      <c r="AU116" s="534" t="s">
        <v>248</v>
      </c>
      <c r="AV116" s="535">
        <v>59904</v>
      </c>
      <c r="AW116" s="535">
        <v>45312</v>
      </c>
    </row>
    <row r="117" spans="1:69" customFormat="1" ht="13.5" customHeight="1">
      <c r="A117" s="522"/>
      <c r="B117" s="522"/>
      <c r="C117" s="522"/>
      <c r="D117" s="522"/>
      <c r="E117" s="522"/>
      <c r="F117" s="522"/>
      <c r="G117" s="522"/>
      <c r="H117" s="522"/>
      <c r="I117" s="522"/>
      <c r="J117" s="522"/>
      <c r="K117" s="522"/>
      <c r="L117" s="522"/>
      <c r="M117" s="522"/>
      <c r="N117" s="522"/>
      <c r="O117" s="522"/>
      <c r="P117" s="522"/>
      <c r="Q117" s="522"/>
      <c r="R117" s="522"/>
      <c r="S117" s="522"/>
      <c r="T117" s="522"/>
      <c r="U117" s="522"/>
      <c r="V117" s="522"/>
      <c r="W117" s="522"/>
      <c r="X117" s="522"/>
      <c r="Y117" s="522"/>
      <c r="Z117" s="522"/>
      <c r="AA117" s="522"/>
      <c r="AB117" s="522"/>
      <c r="AC117" s="522"/>
      <c r="AD117" s="522"/>
      <c r="AE117" s="522"/>
      <c r="AF117" s="522"/>
      <c r="AG117" s="522"/>
      <c r="AH117" s="522"/>
      <c r="AI117" s="522"/>
      <c r="AJ117" s="522"/>
      <c r="AK117" s="522"/>
      <c r="AL117" s="522"/>
      <c r="AM117" s="522"/>
      <c r="AN117" s="522"/>
      <c r="AO117" s="522"/>
      <c r="AP117" s="523"/>
      <c r="AQ117" s="522"/>
      <c r="AR117" s="526"/>
      <c r="AS117" s="526"/>
      <c r="AU117" s="534"/>
      <c r="AV117" s="534"/>
      <c r="AW117" s="534"/>
    </row>
    <row r="118" spans="1:69" customFormat="1" ht="13.5" customHeight="1">
      <c r="A118" s="514" t="s">
        <v>53</v>
      </c>
      <c r="B118" s="514" t="s">
        <v>54</v>
      </c>
      <c r="C118" s="514" t="s">
        <v>21</v>
      </c>
      <c r="D118" s="515">
        <v>3708</v>
      </c>
      <c r="E118" s="515"/>
      <c r="F118" s="515">
        <f>D118</f>
        <v>3708</v>
      </c>
      <c r="G118" s="515">
        <v>3343</v>
      </c>
      <c r="H118" s="515"/>
      <c r="I118" s="515">
        <f>G118</f>
        <v>3343</v>
      </c>
      <c r="J118" s="515">
        <v>4551</v>
      </c>
      <c r="K118" s="515"/>
      <c r="L118" s="515">
        <v>4551</v>
      </c>
      <c r="M118" s="515">
        <v>3840</v>
      </c>
      <c r="N118" s="515"/>
      <c r="O118" s="515">
        <v>3840</v>
      </c>
      <c r="P118" s="515">
        <v>4436</v>
      </c>
      <c r="Q118" s="515"/>
      <c r="R118" s="515">
        <v>4436</v>
      </c>
      <c r="S118" s="515">
        <v>4131</v>
      </c>
      <c r="T118" s="515"/>
      <c r="U118" s="515">
        <v>4131</v>
      </c>
      <c r="V118" s="515">
        <v>3774</v>
      </c>
      <c r="W118" s="515"/>
      <c r="X118" s="515">
        <v>3774</v>
      </c>
      <c r="Y118" s="515">
        <v>4335</v>
      </c>
      <c r="Z118" s="515"/>
      <c r="AA118" s="515">
        <v>4335</v>
      </c>
      <c r="AB118" s="515">
        <v>3749</v>
      </c>
      <c r="AC118" s="515"/>
      <c r="AD118" s="515">
        <v>3749</v>
      </c>
      <c r="AE118" s="515">
        <v>4131</v>
      </c>
      <c r="AF118" s="515"/>
      <c r="AG118" s="515">
        <v>4131</v>
      </c>
      <c r="AH118" s="515">
        <v>3749</v>
      </c>
      <c r="AI118" s="515"/>
      <c r="AJ118" s="515">
        <v>3749</v>
      </c>
      <c r="AK118" s="515">
        <v>3570</v>
      </c>
      <c r="AL118" s="515"/>
      <c r="AM118" s="515">
        <v>3570</v>
      </c>
      <c r="AN118" s="515" cm="1">
        <f t="array" ref="AN118">SUMPRODUCT((D$1:AK$1&lt;&gt;"Margin")*(D$1:AK$1&lt;&gt;"Salary_$600")*D118:AK118)</f>
        <v>47317</v>
      </c>
      <c r="AO118" s="510" cm="1">
        <f t="array" ref="AO118">SUMPRODUCT((D$1:AM$1="Margin")*D118:AM118)</f>
        <v>47317</v>
      </c>
      <c r="AP118" s="524"/>
      <c r="AQ118" s="516" t="s">
        <v>31</v>
      </c>
      <c r="AR118" s="530" t="s">
        <v>53</v>
      </c>
      <c r="AS118" s="525" t="s">
        <v>250</v>
      </c>
      <c r="AU118" s="535">
        <v>103121</v>
      </c>
      <c r="AV118" s="535">
        <v>72032</v>
      </c>
      <c r="AW118" s="535">
        <v>14346</v>
      </c>
    </row>
    <row r="119" spans="1:69" customFormat="1" ht="13.5" customHeight="1">
      <c r="A119" s="514" t="s">
        <v>56</v>
      </c>
      <c r="B119" s="514" t="s">
        <v>54</v>
      </c>
      <c r="C119" s="514" t="s">
        <v>21</v>
      </c>
      <c r="D119" s="515">
        <v>11680</v>
      </c>
      <c r="E119" s="515"/>
      <c r="F119" s="515">
        <v>1600</v>
      </c>
      <c r="G119" s="515">
        <v>11680</v>
      </c>
      <c r="H119" s="515"/>
      <c r="I119" s="515">
        <v>1600</v>
      </c>
      <c r="J119" s="515">
        <v>12848</v>
      </c>
      <c r="K119" s="515"/>
      <c r="L119" s="515">
        <v>1760</v>
      </c>
      <c r="M119" s="515">
        <v>12848</v>
      </c>
      <c r="N119" s="515"/>
      <c r="O119" s="515">
        <v>1760</v>
      </c>
      <c r="P119" s="515">
        <v>11680</v>
      </c>
      <c r="Q119" s="515"/>
      <c r="R119" s="515">
        <v>1600</v>
      </c>
      <c r="S119" s="515">
        <v>11826</v>
      </c>
      <c r="T119" s="515"/>
      <c r="U119" s="515">
        <v>1620</v>
      </c>
      <c r="V119" s="515">
        <v>10804</v>
      </c>
      <c r="W119" s="515"/>
      <c r="X119" s="515">
        <v>1480</v>
      </c>
      <c r="Y119" s="515">
        <v>12410</v>
      </c>
      <c r="Z119" s="515"/>
      <c r="AA119" s="515">
        <v>1700</v>
      </c>
      <c r="AB119" s="515">
        <v>10731</v>
      </c>
      <c r="AC119" s="515"/>
      <c r="AD119" s="515">
        <v>1470</v>
      </c>
      <c r="AE119" s="515">
        <v>11826</v>
      </c>
      <c r="AF119" s="515"/>
      <c r="AG119" s="515">
        <v>1620</v>
      </c>
      <c r="AH119" s="515">
        <v>10731</v>
      </c>
      <c r="AI119" s="515"/>
      <c r="AJ119" s="515">
        <v>1470</v>
      </c>
      <c r="AK119" s="515">
        <v>10220</v>
      </c>
      <c r="AL119" s="515"/>
      <c r="AM119" s="515">
        <v>1400</v>
      </c>
      <c r="AN119" s="515" cm="1">
        <f t="array" ref="AN119">SUMPRODUCT((D$1:AK$1&lt;&gt;"Margin")*(D$1:AK$1&lt;&gt;"Salary_$600")*D119:AK119)</f>
        <v>139284</v>
      </c>
      <c r="AO119" s="510" cm="1">
        <f t="array" ref="AO119">SUMPRODUCT((D$1:AM$1="Margin")*D119:AM119)</f>
        <v>19080</v>
      </c>
      <c r="AP119" s="524"/>
      <c r="AQ119" s="516" t="s">
        <v>31</v>
      </c>
      <c r="AR119" s="530" t="s">
        <v>56</v>
      </c>
      <c r="AS119" s="525" t="s">
        <v>250</v>
      </c>
      <c r="AU119" s="535">
        <v>598888</v>
      </c>
      <c r="AV119" s="535">
        <v>363736</v>
      </c>
      <c r="AW119" s="535">
        <v>47408</v>
      </c>
    </row>
    <row r="120" spans="1:69" customFormat="1" ht="13.5" customHeight="1">
      <c r="A120" s="514" t="s">
        <v>57</v>
      </c>
      <c r="B120" s="514" t="s">
        <v>54</v>
      </c>
      <c r="C120" s="514" t="s">
        <v>21</v>
      </c>
      <c r="D120" s="515">
        <v>6480</v>
      </c>
      <c r="E120" s="515"/>
      <c r="F120" s="515">
        <v>1098</v>
      </c>
      <c r="G120" s="515">
        <v>13680</v>
      </c>
      <c r="H120" s="515"/>
      <c r="I120" s="515">
        <v>2318</v>
      </c>
      <c r="J120" s="515">
        <v>23520</v>
      </c>
      <c r="K120" s="515"/>
      <c r="L120" s="515">
        <v>3812</v>
      </c>
      <c r="M120" s="515">
        <v>40240</v>
      </c>
      <c r="N120" s="515"/>
      <c r="O120" s="515">
        <v>6608</v>
      </c>
      <c r="P120" s="515">
        <v>45640</v>
      </c>
      <c r="Q120" s="515"/>
      <c r="R120" s="515">
        <v>7356</v>
      </c>
      <c r="S120" s="515">
        <v>45360</v>
      </c>
      <c r="T120" s="515"/>
      <c r="U120" s="515">
        <v>7452</v>
      </c>
      <c r="V120" s="515">
        <v>41440</v>
      </c>
      <c r="W120" s="515"/>
      <c r="X120" s="515">
        <v>6808</v>
      </c>
      <c r="Y120" s="515">
        <v>47600</v>
      </c>
      <c r="Z120" s="515"/>
      <c r="AA120" s="515">
        <v>7820</v>
      </c>
      <c r="AB120" s="515">
        <v>41160</v>
      </c>
      <c r="AC120" s="515"/>
      <c r="AD120" s="515">
        <v>6762</v>
      </c>
      <c r="AE120" s="515">
        <v>45360</v>
      </c>
      <c r="AF120" s="515"/>
      <c r="AG120" s="515">
        <v>7452</v>
      </c>
      <c r="AH120" s="515">
        <v>41160</v>
      </c>
      <c r="AI120" s="515"/>
      <c r="AJ120" s="515">
        <v>6762</v>
      </c>
      <c r="AK120" s="515">
        <v>39200</v>
      </c>
      <c r="AL120" s="515"/>
      <c r="AM120" s="515">
        <v>6440</v>
      </c>
      <c r="AN120" s="515" cm="1">
        <f t="array" ref="AN120">SUMPRODUCT((D$1:AK$1&lt;&gt;"Margin")*(D$1:AK$1&lt;&gt;"Salary_$600")*D120:AK120)</f>
        <v>430840</v>
      </c>
      <c r="AO120" s="510" cm="1">
        <f t="array" ref="AO120">SUMPRODUCT((D$1:AM$1="Margin")*D120:AM120)</f>
        <v>70688</v>
      </c>
      <c r="AP120" s="524"/>
      <c r="AQ120" s="516" t="s">
        <v>31</v>
      </c>
      <c r="AR120" s="530" t="s">
        <v>58</v>
      </c>
      <c r="AS120" s="525" t="s">
        <v>250</v>
      </c>
      <c r="AU120" s="535">
        <v>39695</v>
      </c>
      <c r="AV120" s="535">
        <v>119637</v>
      </c>
      <c r="AW120" s="534" t="s">
        <v>248</v>
      </c>
    </row>
    <row r="121" spans="1:69" customFormat="1" ht="13.5" customHeight="1">
      <c r="A121" s="514" t="s">
        <v>59</v>
      </c>
      <c r="B121" s="514" t="s">
        <v>54</v>
      </c>
      <c r="C121" s="514" t="s">
        <v>21</v>
      </c>
      <c r="D121" s="515">
        <v>70818.75</v>
      </c>
      <c r="E121" s="515"/>
      <c r="F121" s="515">
        <v>9146.5</v>
      </c>
      <c r="G121" s="515">
        <v>65386</v>
      </c>
      <c r="H121" s="515"/>
      <c r="I121" s="515">
        <v>1558</v>
      </c>
      <c r="J121" s="515">
        <v>70634</v>
      </c>
      <c r="K121" s="515"/>
      <c r="L121" s="515">
        <v>7174.4</v>
      </c>
      <c r="M121" s="515">
        <v>58694</v>
      </c>
      <c r="N121" s="515"/>
      <c r="O121" s="515">
        <v>5396</v>
      </c>
      <c r="P121" s="515">
        <v>53266</v>
      </c>
      <c r="Q121" s="515"/>
      <c r="R121" s="515">
        <v>4859</v>
      </c>
      <c r="S121" s="515">
        <v>54716</v>
      </c>
      <c r="T121" s="515"/>
      <c r="U121" s="515">
        <v>7475</v>
      </c>
      <c r="V121" s="515">
        <v>49987</v>
      </c>
      <c r="W121" s="515"/>
      <c r="X121" s="515">
        <v>6830</v>
      </c>
      <c r="Y121" s="515">
        <v>57418</v>
      </c>
      <c r="Z121" s="515"/>
      <c r="AA121" s="515">
        <v>7844</v>
      </c>
      <c r="AB121" s="515">
        <v>49649</v>
      </c>
      <c r="AC121" s="515"/>
      <c r="AD121" s="515">
        <v>6782</v>
      </c>
      <c r="AE121" s="515">
        <v>54716</v>
      </c>
      <c r="AF121" s="515"/>
      <c r="AG121" s="515">
        <v>7475</v>
      </c>
      <c r="AH121" s="515">
        <v>49649</v>
      </c>
      <c r="AI121" s="515"/>
      <c r="AJ121" s="515">
        <v>6782</v>
      </c>
      <c r="AK121" s="515">
        <v>47285</v>
      </c>
      <c r="AL121" s="515"/>
      <c r="AM121" s="515">
        <v>6461</v>
      </c>
      <c r="AN121" s="515" cm="1">
        <f t="array" ref="AN121">SUMPRODUCT((D$1:AK$1&lt;&gt;"Margin")*(D$1:AK$1&lt;&gt;"Salary_$600")*D121:AK121)</f>
        <v>682218.75</v>
      </c>
      <c r="AO121" s="510" cm="1">
        <f t="array" ref="AO121">SUMPRODUCT((D$1:AM$1="Margin")*D121:AM121)</f>
        <v>77782.899999999994</v>
      </c>
      <c r="AP121" s="524"/>
      <c r="AQ121" s="516" t="s">
        <v>31</v>
      </c>
      <c r="AR121" s="530" t="s">
        <v>59</v>
      </c>
      <c r="AS121" s="525" t="s">
        <v>250</v>
      </c>
      <c r="AU121" s="535">
        <v>728144</v>
      </c>
      <c r="AV121" s="535">
        <v>819543</v>
      </c>
      <c r="AW121" s="535">
        <v>224069</v>
      </c>
    </row>
    <row r="122" spans="1:69" customFormat="1" ht="13.5" customHeight="1">
      <c r="A122" s="514" t="s">
        <v>60</v>
      </c>
      <c r="B122" s="514" t="s">
        <v>54</v>
      </c>
      <c r="C122" s="514" t="s">
        <v>21</v>
      </c>
      <c r="D122" s="515">
        <v>800</v>
      </c>
      <c r="E122" s="515"/>
      <c r="F122" s="515">
        <f>D122</f>
        <v>800</v>
      </c>
      <c r="G122" s="515">
        <v>800</v>
      </c>
      <c r="H122" s="515"/>
      <c r="I122" s="515">
        <v>6580</v>
      </c>
      <c r="J122" s="515">
        <v>880</v>
      </c>
      <c r="K122" s="515"/>
      <c r="L122" s="515">
        <v>880</v>
      </c>
      <c r="M122" s="515">
        <v>880</v>
      </c>
      <c r="N122" s="515"/>
      <c r="O122" s="515">
        <v>880</v>
      </c>
      <c r="P122" s="515">
        <v>280</v>
      </c>
      <c r="Q122" s="515"/>
      <c r="R122" s="515">
        <v>280</v>
      </c>
      <c r="S122" s="515">
        <v>0</v>
      </c>
      <c r="T122" s="515"/>
      <c r="U122" s="515">
        <v>0</v>
      </c>
      <c r="V122" s="515">
        <v>0</v>
      </c>
      <c r="W122" s="515"/>
      <c r="X122" s="515">
        <v>0</v>
      </c>
      <c r="Y122" s="515">
        <v>0</v>
      </c>
      <c r="Z122" s="515"/>
      <c r="AA122" s="515">
        <v>0</v>
      </c>
      <c r="AB122" s="515">
        <v>0</v>
      </c>
      <c r="AC122" s="515"/>
      <c r="AD122" s="515">
        <v>0</v>
      </c>
      <c r="AE122" s="515">
        <v>0</v>
      </c>
      <c r="AF122" s="515"/>
      <c r="AG122" s="515">
        <v>0</v>
      </c>
      <c r="AH122" s="515">
        <v>0</v>
      </c>
      <c r="AI122" s="515"/>
      <c r="AJ122" s="515">
        <v>0</v>
      </c>
      <c r="AK122" s="515">
        <v>0</v>
      </c>
      <c r="AL122" s="515"/>
      <c r="AM122" s="515">
        <v>0</v>
      </c>
      <c r="AN122" s="515" cm="1">
        <f t="array" ref="AN122">SUMPRODUCT((D$1:AK$1&lt;&gt;"Margin")*(D$1:AK$1&lt;&gt;"Salary_$600")*D122:AK122)</f>
        <v>3640</v>
      </c>
      <c r="AO122" s="510" cm="1">
        <f t="array" ref="AO122">SUMPRODUCT((D$1:AM$1="Margin")*D122:AM122)</f>
        <v>9420</v>
      </c>
      <c r="AP122" s="524"/>
      <c r="AQ122" s="516" t="s">
        <v>31</v>
      </c>
      <c r="AR122" s="530" t="s">
        <v>60</v>
      </c>
      <c r="AS122" s="525" t="s">
        <v>250</v>
      </c>
      <c r="AU122" s="534" t="s">
        <v>248</v>
      </c>
      <c r="AV122" s="535">
        <v>6000</v>
      </c>
      <c r="AW122" s="535">
        <v>2600</v>
      </c>
    </row>
    <row r="123" spans="1:69" customFormat="1" ht="13.5" customHeight="1">
      <c r="A123" s="514" t="s">
        <v>251</v>
      </c>
      <c r="B123" s="514" t="s">
        <v>54</v>
      </c>
      <c r="C123" s="514" t="s">
        <v>21</v>
      </c>
      <c r="D123" s="515">
        <v>9600</v>
      </c>
      <c r="E123" s="515"/>
      <c r="F123" s="515">
        <v>176</v>
      </c>
      <c r="G123" s="515">
        <v>9120</v>
      </c>
      <c r="H123" s="515"/>
      <c r="I123" s="515">
        <v>167.2</v>
      </c>
      <c r="J123" s="515">
        <v>10560</v>
      </c>
      <c r="K123" s="515"/>
      <c r="L123" s="515">
        <v>193.6</v>
      </c>
      <c r="M123" s="515">
        <v>10560</v>
      </c>
      <c r="N123" s="515"/>
      <c r="O123" s="515">
        <v>193.6</v>
      </c>
      <c r="P123" s="515">
        <v>9600</v>
      </c>
      <c r="Q123" s="515"/>
      <c r="R123" s="515">
        <v>176</v>
      </c>
      <c r="S123" s="515">
        <v>9720</v>
      </c>
      <c r="T123" s="515"/>
      <c r="U123" s="515">
        <v>324</v>
      </c>
      <c r="V123" s="515">
        <v>8880</v>
      </c>
      <c r="W123" s="515"/>
      <c r="X123" s="515">
        <v>296</v>
      </c>
      <c r="Y123" s="515">
        <v>10200</v>
      </c>
      <c r="Z123" s="515"/>
      <c r="AA123" s="515">
        <v>340</v>
      </c>
      <c r="AB123" s="515">
        <v>8820</v>
      </c>
      <c r="AC123" s="515"/>
      <c r="AD123" s="515">
        <v>294</v>
      </c>
      <c r="AE123" s="515">
        <v>9720</v>
      </c>
      <c r="AF123" s="515"/>
      <c r="AG123" s="515">
        <v>324</v>
      </c>
      <c r="AH123" s="515">
        <v>8820</v>
      </c>
      <c r="AI123" s="515"/>
      <c r="AJ123" s="515">
        <v>294</v>
      </c>
      <c r="AK123" s="515">
        <v>8400</v>
      </c>
      <c r="AL123" s="515"/>
      <c r="AM123" s="515">
        <v>280</v>
      </c>
      <c r="AN123" s="515" cm="1">
        <f t="array" ref="AN123">SUMPRODUCT((D$1:AK$1&lt;&gt;"Margin")*(D$1:AK$1&lt;&gt;"Salary_$600")*D123:AK123)</f>
        <v>114000</v>
      </c>
      <c r="AO123" s="510" cm="1">
        <f t="array" ref="AO123">SUMPRODUCT((D$1:AM$1="Margin")*D123:AM123)</f>
        <v>3058.4</v>
      </c>
      <c r="AP123" s="524"/>
      <c r="AQ123" s="516" t="s">
        <v>31</v>
      </c>
      <c r="AR123" s="530" t="s">
        <v>251</v>
      </c>
      <c r="AS123" s="525" t="s">
        <v>250</v>
      </c>
      <c r="AU123" s="535">
        <v>114240</v>
      </c>
      <c r="AV123" s="535">
        <v>120960</v>
      </c>
      <c r="AW123" s="535">
        <v>30240</v>
      </c>
    </row>
    <row r="124" spans="1:69" customFormat="1" ht="13.5" customHeight="1">
      <c r="A124" s="522"/>
      <c r="B124" s="522"/>
      <c r="C124" s="522"/>
      <c r="D124" s="522"/>
      <c r="E124" s="522"/>
      <c r="F124" s="522"/>
      <c r="G124" s="522"/>
      <c r="H124" s="522"/>
      <c r="I124" s="522"/>
      <c r="J124" s="522"/>
      <c r="K124" s="522"/>
      <c r="L124" s="522"/>
      <c r="M124" s="522"/>
      <c r="N124" s="522"/>
      <c r="O124" s="522"/>
      <c r="P124" s="522"/>
      <c r="Q124" s="522"/>
      <c r="R124" s="522"/>
      <c r="S124" s="522"/>
      <c r="T124" s="522"/>
      <c r="U124" s="522"/>
      <c r="V124" s="522"/>
      <c r="W124" s="522"/>
      <c r="X124" s="522"/>
      <c r="Y124" s="522"/>
      <c r="Z124" s="522"/>
      <c r="AA124" s="522"/>
      <c r="AB124" s="522"/>
      <c r="AC124" s="522"/>
      <c r="AD124" s="522"/>
      <c r="AE124" s="522"/>
      <c r="AF124" s="522"/>
      <c r="AG124" s="522"/>
      <c r="AH124" s="522"/>
      <c r="AI124" s="522"/>
      <c r="AJ124" s="522"/>
      <c r="AK124" s="522"/>
      <c r="AL124" s="522"/>
      <c r="AM124" s="522"/>
      <c r="AN124" s="522"/>
      <c r="AO124" s="522"/>
      <c r="AP124" s="523"/>
      <c r="AQ124" s="522"/>
      <c r="AR124" s="526"/>
      <c r="AS124" s="526"/>
      <c r="AU124" s="534"/>
      <c r="AV124" s="534"/>
      <c r="AW124" s="534"/>
    </row>
    <row r="125" spans="1:69" ht="13.5" customHeight="1">
      <c r="A125" s="517" t="s">
        <v>62</v>
      </c>
      <c r="B125" s="518"/>
      <c r="C125" s="518"/>
      <c r="D125" s="508">
        <f t="shared" ref="D125:AN125" si="77">SUM(D106:D124)</f>
        <v>261132.57</v>
      </c>
      <c r="E125" s="508"/>
      <c r="F125" s="508">
        <f t="shared" si="77"/>
        <v>36349.83</v>
      </c>
      <c r="G125" s="508">
        <f t="shared" si="77"/>
        <v>245274.33000000002</v>
      </c>
      <c r="H125" s="508"/>
      <c r="I125" s="508">
        <f t="shared" si="77"/>
        <v>37274.254000000001</v>
      </c>
      <c r="J125" s="508">
        <f t="shared" si="77"/>
        <v>287810.8</v>
      </c>
      <c r="K125" s="508"/>
      <c r="L125" s="508">
        <f t="shared" si="77"/>
        <v>40523.32</v>
      </c>
      <c r="M125" s="508">
        <f t="shared" si="77"/>
        <v>293353</v>
      </c>
      <c r="N125" s="508"/>
      <c r="O125" s="508">
        <f t="shared" si="77"/>
        <v>43597.46</v>
      </c>
      <c r="P125" s="508">
        <f t="shared" si="77"/>
        <v>288946.69</v>
      </c>
      <c r="Q125" s="508"/>
      <c r="R125" s="508">
        <f t="shared" si="77"/>
        <v>37868.92</v>
      </c>
      <c r="S125" s="508">
        <f t="shared" si="77"/>
        <v>289845</v>
      </c>
      <c r="T125" s="508"/>
      <c r="U125" s="508">
        <f t="shared" si="77"/>
        <v>39211</v>
      </c>
      <c r="V125" s="508">
        <f t="shared" si="77"/>
        <v>264796</v>
      </c>
      <c r="W125" s="508"/>
      <c r="X125" s="508">
        <f t="shared" si="77"/>
        <v>35740</v>
      </c>
      <c r="Y125" s="508">
        <f t="shared" si="77"/>
        <v>304159</v>
      </c>
      <c r="Z125" s="508"/>
      <c r="AA125" s="508">
        <f t="shared" si="77"/>
        <v>41195</v>
      </c>
      <c r="AB125" s="508">
        <f t="shared" si="77"/>
        <v>263008</v>
      </c>
      <c r="AC125" s="508"/>
      <c r="AD125" s="508">
        <f t="shared" si="77"/>
        <v>35492</v>
      </c>
      <c r="AE125" s="508">
        <f t="shared" si="77"/>
        <v>289845</v>
      </c>
      <c r="AF125" s="508"/>
      <c r="AG125" s="508">
        <f t="shared" si="77"/>
        <v>39211</v>
      </c>
      <c r="AH125" s="508">
        <f t="shared" si="77"/>
        <v>263008</v>
      </c>
      <c r="AI125" s="508"/>
      <c r="AJ125" s="508">
        <f t="shared" si="77"/>
        <v>35492</v>
      </c>
      <c r="AK125" s="508">
        <f t="shared" si="77"/>
        <v>250483</v>
      </c>
      <c r="AL125" s="508"/>
      <c r="AM125" s="508">
        <f t="shared" si="77"/>
        <v>33759</v>
      </c>
      <c r="AN125" s="519">
        <f t="shared" si="77"/>
        <v>3301661.39</v>
      </c>
      <c r="AO125" s="510" cm="1">
        <f t="array" ref="AO125">SUMPRODUCT((D$1:AM$1="Margin")*D125:AM125)</f>
        <v>455713.78399999999</v>
      </c>
      <c r="AP125" s="520"/>
      <c r="AQ125" s="521"/>
      <c r="AR125" s="525"/>
      <c r="AS125" s="525"/>
      <c r="AU125" s="534"/>
      <c r="AV125" s="534"/>
      <c r="AW125" s="534"/>
    </row>
    <row r="126" spans="1:69" customFormat="1" ht="13.5" customHeight="1">
      <c r="AP126" s="156"/>
      <c r="AU126" s="534"/>
      <c r="AV126" s="534"/>
      <c r="AW126" s="534"/>
    </row>
    <row r="127" spans="1:69" customFormat="1" ht="13.5" customHeight="1">
      <c r="AP127" s="156"/>
      <c r="AU127" s="534"/>
      <c r="AV127" s="534"/>
      <c r="AW127" s="534"/>
    </row>
    <row r="128" spans="1:69" s="168" customFormat="1" ht="13.5" customHeight="1">
      <c r="A128" s="307" t="s">
        <v>252</v>
      </c>
      <c r="B128" s="308"/>
      <c r="C128" s="308"/>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c r="AA128" s="335"/>
      <c r="AB128" s="335"/>
      <c r="AC128" s="335"/>
      <c r="AD128" s="335"/>
      <c r="AE128" s="335"/>
      <c r="AF128" s="335"/>
      <c r="AG128" s="335"/>
      <c r="AH128" s="335"/>
      <c r="AI128" s="335"/>
      <c r="AJ128" s="335"/>
      <c r="AK128" s="335"/>
      <c r="AL128" s="335"/>
      <c r="AM128" s="335"/>
      <c r="AN128" s="335"/>
      <c r="AO128" s="335"/>
      <c r="AP128" s="188"/>
      <c r="AQ128" s="182"/>
      <c r="AR128" s="342"/>
      <c r="AS128" s="342"/>
      <c r="AT128"/>
      <c r="AU128" s="534"/>
      <c r="AV128" s="534"/>
      <c r="AW128" s="534"/>
      <c r="AX128"/>
      <c r="AY128"/>
      <c r="AZ128"/>
      <c r="BA128"/>
      <c r="BB128"/>
      <c r="BC128"/>
      <c r="BD128"/>
      <c r="BE128"/>
      <c r="BF128"/>
      <c r="BG128"/>
      <c r="BH128"/>
      <c r="BI128"/>
      <c r="BJ128"/>
      <c r="BK128"/>
      <c r="BL128"/>
      <c r="BM128"/>
      <c r="BN128"/>
      <c r="BO128"/>
      <c r="BP128"/>
      <c r="BQ128" s="157"/>
    </row>
    <row r="129" spans="1:49" customFormat="1" ht="13.5" customHeight="1">
      <c r="AP129" s="156"/>
      <c r="AU129" s="534"/>
      <c r="AV129" s="534"/>
      <c r="AW129" s="534"/>
    </row>
    <row r="130" spans="1:49" ht="13.5" customHeight="1">
      <c r="A130" s="310" t="s">
        <v>73</v>
      </c>
      <c r="B130" s="311"/>
      <c r="C130" s="311"/>
      <c r="D130" s="335">
        <f>+D125+D128</f>
        <v>261132.57</v>
      </c>
      <c r="E130" s="335"/>
      <c r="F130" s="335"/>
      <c r="G130" s="335">
        <f>+G125+G128</f>
        <v>245274.33000000002</v>
      </c>
      <c r="H130" s="335"/>
      <c r="I130" s="335"/>
      <c r="J130" s="335">
        <f>+J125+J128</f>
        <v>287810.8</v>
      </c>
      <c r="K130" s="335"/>
      <c r="L130" s="335"/>
      <c r="M130" s="335">
        <f>+M125+M128</f>
        <v>293353</v>
      </c>
      <c r="N130" s="335"/>
      <c r="O130" s="335"/>
      <c r="P130" s="335">
        <f>+P125+P128</f>
        <v>288946.69</v>
      </c>
      <c r="Q130" s="335"/>
      <c r="R130" s="335"/>
      <c r="S130" s="335">
        <f>+S125+S128</f>
        <v>289845</v>
      </c>
      <c r="T130" s="335"/>
      <c r="U130" s="335"/>
      <c r="V130" s="335">
        <f>+V125+V128</f>
        <v>264796</v>
      </c>
      <c r="W130" s="335"/>
      <c r="X130" s="335"/>
      <c r="Y130" s="335">
        <f>+Y125+Y128</f>
        <v>304159</v>
      </c>
      <c r="Z130" s="335"/>
      <c r="AA130" s="335"/>
      <c r="AB130" s="335">
        <f>+AB125+AB128</f>
        <v>263008</v>
      </c>
      <c r="AC130" s="335"/>
      <c r="AD130" s="335"/>
      <c r="AE130" s="335">
        <f>+AE125+AE128</f>
        <v>289845</v>
      </c>
      <c r="AF130" s="335"/>
      <c r="AG130" s="335"/>
      <c r="AH130" s="335">
        <f>+AH125+AH128</f>
        <v>263008</v>
      </c>
      <c r="AI130" s="335"/>
      <c r="AJ130" s="335"/>
      <c r="AK130" s="335">
        <f>+AK125+AK128</f>
        <v>250483</v>
      </c>
      <c r="AL130" s="335"/>
      <c r="AM130" s="335"/>
      <c r="AN130" s="336">
        <f>+AN125+AN128</f>
        <v>3301661.39</v>
      </c>
      <c r="AO130" s="336"/>
      <c r="AP130" s="188"/>
      <c r="AQ130" s="182"/>
      <c r="AS130" s="342"/>
      <c r="AU130" s="534"/>
      <c r="AV130" s="534"/>
      <c r="AW130" s="534"/>
    </row>
    <row r="131" spans="1:49" customFormat="1" ht="13.5" customHeight="1">
      <c r="AP131" s="156"/>
      <c r="AU131" s="534"/>
      <c r="AV131" s="534"/>
      <c r="AW131" s="534"/>
    </row>
    <row r="132" spans="1:49" ht="13.5" customHeight="1">
      <c r="A132" s="312" t="s">
        <v>253</v>
      </c>
      <c r="B132" s="168"/>
      <c r="C132" s="168"/>
      <c r="D132" s="337">
        <f>D130+D103</f>
        <v>703983.57000000007</v>
      </c>
      <c r="E132" s="337"/>
      <c r="F132" s="337"/>
      <c r="G132" s="337">
        <f>G130+G103</f>
        <v>676350.33000000007</v>
      </c>
      <c r="H132" s="337"/>
      <c r="I132" s="337"/>
      <c r="J132" s="337">
        <f>J130+J103</f>
        <v>924008.8</v>
      </c>
      <c r="K132" s="337"/>
      <c r="L132" s="337"/>
      <c r="M132" s="337">
        <f>M130+M103</f>
        <v>758739</v>
      </c>
      <c r="N132" s="337"/>
      <c r="O132" s="337"/>
      <c r="P132" s="337">
        <f>P130+P103</f>
        <v>719237.69</v>
      </c>
      <c r="Q132" s="337"/>
      <c r="R132" s="337"/>
      <c r="S132" s="337">
        <f>S130+S103</f>
        <v>10759551</v>
      </c>
      <c r="T132" s="337"/>
      <c r="U132" s="337"/>
      <c r="V132" s="337">
        <f>V130+V103</f>
        <v>802997</v>
      </c>
      <c r="W132" s="337"/>
      <c r="X132" s="337"/>
      <c r="Y132" s="337">
        <f>Y130+Y103</f>
        <v>830010</v>
      </c>
      <c r="Z132" s="337"/>
      <c r="AA132" s="337"/>
      <c r="AB132" s="337">
        <f>AB130+AB103</f>
        <v>940649</v>
      </c>
      <c r="AC132" s="337"/>
      <c r="AD132" s="337"/>
      <c r="AE132" s="337">
        <f>AE130+AE103</f>
        <v>1023976</v>
      </c>
      <c r="AF132" s="337"/>
      <c r="AG132" s="337"/>
      <c r="AH132" s="337">
        <f>AH130+AH103</f>
        <v>733019</v>
      </c>
      <c r="AI132" s="337"/>
      <c r="AJ132" s="337"/>
      <c r="AK132" s="337">
        <f>AK130+AK103</f>
        <v>733814</v>
      </c>
      <c r="AL132" s="337"/>
      <c r="AM132" s="337"/>
      <c r="AN132" s="338">
        <f>AN130+AN103</f>
        <v>19606335.390000001</v>
      </c>
      <c r="AO132" s="338"/>
      <c r="AP132" s="302"/>
      <c r="AS132" s="342"/>
      <c r="AU132" s="534"/>
      <c r="AV132" s="534"/>
      <c r="AW132" s="534"/>
    </row>
    <row r="133" spans="1:49"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row>
    <row r="134" spans="1:49"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row>
  </sheetData>
  <autoFilter ref="A2:AO56" xr:uid="{579444EB-9F39-438C-82C3-D148D6D99CB2}"/>
  <sortState xmlns:xlrd2="http://schemas.microsoft.com/office/spreadsheetml/2017/richdata2" ref="A76:AR90">
    <sortCondition ref="AR76:AR90"/>
  </sortState>
  <conditionalFormatting sqref="AO1:AO1048576">
    <cfRule type="cellIs" dxfId="37" priority="1" operator="lessThan">
      <formula>0</formula>
    </cfRule>
  </conditionalFormatting>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2C218-423B-4CAD-8B7D-FC148B394A11}">
  <dimension ref="A1:D101"/>
  <sheetViews>
    <sheetView workbookViewId="0">
      <pane ySplit="1" topLeftCell="A17" activePane="bottomLeft" state="frozen"/>
      <selection pane="bottomLeft" activeCell="A22" sqref="A22:A30"/>
    </sheetView>
  </sheetViews>
  <sheetFormatPr defaultRowHeight="12.75"/>
  <cols>
    <col min="1" max="1" width="21.42578125" style="485" customWidth="1"/>
    <col min="2" max="2" width="36" customWidth="1"/>
    <col min="3" max="3" width="13.5703125" customWidth="1"/>
    <col min="4" max="4" width="118.28515625" customWidth="1"/>
  </cols>
  <sheetData>
    <row r="1" spans="1:4" ht="13.5">
      <c r="A1" s="547" t="s">
        <v>19</v>
      </c>
      <c r="B1" s="548" t="s">
        <v>254</v>
      </c>
      <c r="C1" s="548" t="s">
        <v>255</v>
      </c>
      <c r="D1" s="549" t="s">
        <v>17</v>
      </c>
    </row>
    <row r="2" spans="1:4" ht="72.75" customHeight="1">
      <c r="A2" s="550" t="s">
        <v>84</v>
      </c>
      <c r="B2" s="448" t="s">
        <v>97</v>
      </c>
      <c r="C2" s="551" t="s">
        <v>31</v>
      </c>
      <c r="D2" s="552" t="s">
        <v>256</v>
      </c>
    </row>
    <row r="3" spans="1:4" ht="27">
      <c r="A3" s="550" t="s">
        <v>84</v>
      </c>
      <c r="B3" s="448" t="s">
        <v>98</v>
      </c>
      <c r="C3" s="551" t="s">
        <v>99</v>
      </c>
      <c r="D3" s="552" t="s">
        <v>257</v>
      </c>
    </row>
    <row r="4" spans="1:4" ht="27">
      <c r="A4" s="550" t="s">
        <v>84</v>
      </c>
      <c r="B4" s="448" t="s">
        <v>102</v>
      </c>
      <c r="C4" s="551" t="s">
        <v>31</v>
      </c>
      <c r="D4" s="552" t="s">
        <v>258</v>
      </c>
    </row>
    <row r="5" spans="1:4" ht="13.5">
      <c r="A5" s="550" t="s">
        <v>84</v>
      </c>
      <c r="B5" s="448" t="s">
        <v>107</v>
      </c>
      <c r="C5" s="551" t="s">
        <v>99</v>
      </c>
      <c r="D5" s="552" t="s">
        <v>259</v>
      </c>
    </row>
    <row r="6" spans="1:4" ht="13.5">
      <c r="A6" s="550" t="s">
        <v>84</v>
      </c>
      <c r="B6" s="448" t="s">
        <v>110</v>
      </c>
      <c r="C6" s="551" t="s">
        <v>31</v>
      </c>
      <c r="D6" s="552" t="s">
        <v>260</v>
      </c>
    </row>
    <row r="7" spans="1:4" ht="121.5">
      <c r="A7" s="550" t="s">
        <v>84</v>
      </c>
      <c r="B7" s="448" t="s">
        <v>52</v>
      </c>
      <c r="C7" s="551" t="s">
        <v>31</v>
      </c>
      <c r="D7" s="552" t="s">
        <v>261</v>
      </c>
    </row>
    <row r="8" spans="1:4" ht="27">
      <c r="A8" s="550" t="s">
        <v>84</v>
      </c>
      <c r="B8" s="448" t="s">
        <v>121</v>
      </c>
      <c r="C8" s="551" t="s">
        <v>120</v>
      </c>
      <c r="D8" s="552" t="s">
        <v>262</v>
      </c>
    </row>
    <row r="9" spans="1:4" ht="13.5">
      <c r="A9" s="550" t="s">
        <v>84</v>
      </c>
      <c r="B9" s="448" t="s">
        <v>124</v>
      </c>
      <c r="C9" s="551" t="s">
        <v>31</v>
      </c>
      <c r="D9" s="552" t="s">
        <v>263</v>
      </c>
    </row>
    <row r="10" spans="1:4" ht="53.25">
      <c r="A10" s="550" t="s">
        <v>84</v>
      </c>
      <c r="B10" s="448" t="s">
        <v>131</v>
      </c>
      <c r="C10" s="551" t="s">
        <v>31</v>
      </c>
      <c r="D10" s="552" t="s">
        <v>264</v>
      </c>
    </row>
    <row r="11" spans="1:4" ht="67.5">
      <c r="A11" s="550" t="s">
        <v>84</v>
      </c>
      <c r="B11" s="448" t="s">
        <v>125</v>
      </c>
      <c r="C11" s="551" t="s">
        <v>127</v>
      </c>
      <c r="D11" s="552" t="s">
        <v>265</v>
      </c>
    </row>
    <row r="12" spans="1:4" ht="13.5">
      <c r="A12" s="550" t="s">
        <v>84</v>
      </c>
      <c r="B12" s="448" t="s">
        <v>141</v>
      </c>
      <c r="C12" s="551" t="s">
        <v>31</v>
      </c>
      <c r="D12" s="552" t="s">
        <v>123</v>
      </c>
    </row>
    <row r="13" spans="1:4" ht="169.5" customHeight="1">
      <c r="A13" s="550" t="s">
        <v>84</v>
      </c>
      <c r="B13" s="448" t="s">
        <v>32</v>
      </c>
      <c r="C13" s="551" t="s">
        <v>31</v>
      </c>
      <c r="D13" s="553" t="s">
        <v>266</v>
      </c>
    </row>
    <row r="14" spans="1:4" ht="13.5">
      <c r="A14" s="550" t="s">
        <v>84</v>
      </c>
      <c r="B14" s="448" t="s">
        <v>157</v>
      </c>
      <c r="C14" s="551" t="s">
        <v>127</v>
      </c>
      <c r="D14" s="552" t="s">
        <v>267</v>
      </c>
    </row>
    <row r="15" spans="1:4" ht="40.5">
      <c r="A15" s="550" t="s">
        <v>84</v>
      </c>
      <c r="B15" s="448" t="s">
        <v>164</v>
      </c>
      <c r="C15" s="551" t="s">
        <v>31</v>
      </c>
      <c r="D15" s="552" t="s">
        <v>163</v>
      </c>
    </row>
    <row r="16" spans="1:4" ht="27">
      <c r="A16" s="550" t="s">
        <v>84</v>
      </c>
      <c r="B16" s="448" t="s">
        <v>167</v>
      </c>
      <c r="C16" s="551" t="s">
        <v>31</v>
      </c>
      <c r="D16" s="552" t="s">
        <v>166</v>
      </c>
    </row>
    <row r="17" spans="1:4" ht="40.5">
      <c r="A17" s="550" t="s">
        <v>84</v>
      </c>
      <c r="B17" s="448" t="s">
        <v>170</v>
      </c>
      <c r="C17" s="551" t="s">
        <v>31</v>
      </c>
      <c r="D17" s="552" t="s">
        <v>268</v>
      </c>
    </row>
    <row r="18" spans="1:4" ht="53.25">
      <c r="A18" s="550" t="s">
        <v>84</v>
      </c>
      <c r="B18" s="448" t="s">
        <v>173</v>
      </c>
      <c r="C18" s="551" t="s">
        <v>31</v>
      </c>
      <c r="D18" s="552" t="s">
        <v>269</v>
      </c>
    </row>
    <row r="19" spans="1:4" ht="13.5">
      <c r="A19" s="550" t="s">
        <v>84</v>
      </c>
      <c r="B19" s="448" t="s">
        <v>176</v>
      </c>
      <c r="C19" s="551" t="s">
        <v>31</v>
      </c>
      <c r="D19" s="552" t="s">
        <v>270</v>
      </c>
    </row>
    <row r="20" spans="1:4" ht="13.5">
      <c r="A20" s="550" t="s">
        <v>84</v>
      </c>
      <c r="B20" s="448" t="s">
        <v>179</v>
      </c>
      <c r="C20" s="551" t="s">
        <v>31</v>
      </c>
      <c r="D20" s="552" t="s">
        <v>178</v>
      </c>
    </row>
    <row r="21" spans="1:4">
      <c r="A21" s="550"/>
      <c r="B21" s="448"/>
      <c r="C21" s="551"/>
      <c r="D21" s="552"/>
    </row>
    <row r="22" spans="1:4">
      <c r="A22" s="550" t="s">
        <v>84</v>
      </c>
      <c r="B22" s="448" t="s">
        <v>81</v>
      </c>
      <c r="C22" s="551"/>
      <c r="D22" s="552"/>
    </row>
    <row r="23" spans="1:4">
      <c r="A23" s="550" t="s">
        <v>84</v>
      </c>
      <c r="B23" s="448" t="s">
        <v>85</v>
      </c>
      <c r="C23" s="551"/>
      <c r="D23" s="552"/>
    </row>
    <row r="24" spans="1:4">
      <c r="A24" s="550" t="s">
        <v>84</v>
      </c>
      <c r="B24" s="448" t="s">
        <v>86</v>
      </c>
      <c r="C24" s="551"/>
      <c r="D24" s="552"/>
    </row>
    <row r="25" spans="1:4">
      <c r="A25" s="550" t="s">
        <v>84</v>
      </c>
      <c r="B25" s="448" t="s">
        <v>87</v>
      </c>
      <c r="C25" s="551"/>
      <c r="D25" s="552"/>
    </row>
    <row r="26" spans="1:4">
      <c r="A26" s="550" t="s">
        <v>84</v>
      </c>
      <c r="B26" s="448" t="s">
        <v>88</v>
      </c>
      <c r="C26" s="551"/>
      <c r="D26" s="552"/>
    </row>
    <row r="27" spans="1:4">
      <c r="A27" s="550" t="s">
        <v>84</v>
      </c>
      <c r="B27" s="448" t="s">
        <v>89</v>
      </c>
      <c r="C27" s="551"/>
      <c r="D27" s="552"/>
    </row>
    <row r="28" spans="1:4">
      <c r="A28" s="550" t="s">
        <v>84</v>
      </c>
      <c r="B28" s="448" t="s">
        <v>90</v>
      </c>
      <c r="C28" s="551"/>
      <c r="D28" s="552"/>
    </row>
    <row r="29" spans="1:4">
      <c r="A29" s="550" t="s">
        <v>84</v>
      </c>
      <c r="B29" s="448" t="s">
        <v>91</v>
      </c>
      <c r="C29" s="551"/>
      <c r="D29" s="552"/>
    </row>
    <row r="30" spans="1:4">
      <c r="A30" s="550" t="s">
        <v>84</v>
      </c>
      <c r="B30" s="448" t="s">
        <v>92</v>
      </c>
      <c r="C30" s="551"/>
      <c r="D30" s="552"/>
    </row>
    <row r="31" spans="1:4">
      <c r="A31" s="550"/>
      <c r="B31" s="448"/>
      <c r="C31" s="551"/>
      <c r="D31" s="552"/>
    </row>
    <row r="32" spans="1:4">
      <c r="A32" s="550"/>
      <c r="B32" s="448"/>
      <c r="C32" s="551"/>
      <c r="D32" s="552"/>
    </row>
    <row r="33" spans="1:4">
      <c r="A33" s="554"/>
      <c r="B33" s="555"/>
      <c r="C33" s="556"/>
      <c r="D33" s="557"/>
    </row>
    <row r="34" spans="1:4">
      <c r="A34" s="550"/>
      <c r="B34" s="448"/>
      <c r="C34" s="551"/>
      <c r="D34" s="552"/>
    </row>
    <row r="35" spans="1:4" ht="13.5">
      <c r="A35" s="550" t="s">
        <v>190</v>
      </c>
      <c r="B35" s="448" t="s">
        <v>131</v>
      </c>
      <c r="C35" s="551" t="s">
        <v>189</v>
      </c>
      <c r="D35" s="552" t="s">
        <v>271</v>
      </c>
    </row>
    <row r="36" spans="1:4" ht="13.5">
      <c r="A36" s="550" t="s">
        <v>190</v>
      </c>
      <c r="B36" s="448" t="s">
        <v>125</v>
      </c>
      <c r="C36" s="551" t="s">
        <v>189</v>
      </c>
      <c r="D36" s="552" t="s">
        <v>272</v>
      </c>
    </row>
    <row r="37" spans="1:4" ht="27">
      <c r="A37" s="550" t="s">
        <v>190</v>
      </c>
      <c r="B37" s="448" t="s">
        <v>160</v>
      </c>
      <c r="C37" s="551" t="s">
        <v>127</v>
      </c>
      <c r="D37" s="552" t="s">
        <v>273</v>
      </c>
    </row>
    <row r="38" spans="1:4" ht="13.5">
      <c r="A38" s="550" t="s">
        <v>190</v>
      </c>
      <c r="B38" s="448" t="s">
        <v>274</v>
      </c>
      <c r="C38" s="551" t="s">
        <v>120</v>
      </c>
      <c r="D38" s="552" t="s">
        <v>275</v>
      </c>
    </row>
    <row r="39" spans="1:4">
      <c r="A39" s="550" t="s">
        <v>190</v>
      </c>
      <c r="B39" s="448"/>
      <c r="C39" s="551"/>
      <c r="D39" s="552"/>
    </row>
    <row r="40" spans="1:4">
      <c r="A40" s="550"/>
      <c r="B40" s="448"/>
      <c r="C40" s="551"/>
      <c r="D40" s="552"/>
    </row>
    <row r="41" spans="1:4">
      <c r="A41" s="554"/>
      <c r="B41" s="555"/>
      <c r="C41" s="556"/>
      <c r="D41" s="557"/>
    </row>
    <row r="42" spans="1:4">
      <c r="A42" s="550"/>
      <c r="B42" s="448"/>
      <c r="C42" s="551"/>
      <c r="D42" s="552"/>
    </row>
    <row r="43" spans="1:4">
      <c r="A43" s="550"/>
      <c r="B43" s="448"/>
      <c r="C43" s="551"/>
      <c r="D43" s="552"/>
    </row>
    <row r="44" spans="1:4" ht="13.5">
      <c r="A44" s="550" t="s">
        <v>202</v>
      </c>
      <c r="B44" s="448" t="s">
        <v>201</v>
      </c>
      <c r="C44" s="551" t="s">
        <v>120</v>
      </c>
      <c r="D44" s="552" t="s">
        <v>200</v>
      </c>
    </row>
    <row r="45" spans="1:4" ht="13.5">
      <c r="A45" s="550" t="s">
        <v>202</v>
      </c>
      <c r="B45" s="448" t="s">
        <v>203</v>
      </c>
      <c r="C45" s="551" t="s">
        <v>206</v>
      </c>
      <c r="D45" s="552" t="s">
        <v>205</v>
      </c>
    </row>
    <row r="46" spans="1:4">
      <c r="A46" s="550" t="s">
        <v>202</v>
      </c>
      <c r="B46" s="448" t="s">
        <v>207</v>
      </c>
      <c r="C46" s="551" t="s">
        <v>127</v>
      </c>
      <c r="D46" s="552"/>
    </row>
    <row r="47" spans="1:4" ht="13.5">
      <c r="A47" s="550" t="s">
        <v>202</v>
      </c>
      <c r="B47" s="448" t="s">
        <v>212</v>
      </c>
      <c r="C47" s="551" t="s">
        <v>206</v>
      </c>
      <c r="D47" s="552" t="s">
        <v>211</v>
      </c>
    </row>
    <row r="48" spans="1:4" ht="13.5">
      <c r="A48" s="550" t="s">
        <v>202</v>
      </c>
      <c r="B48" s="448" t="s">
        <v>216</v>
      </c>
      <c r="C48" s="551" t="s">
        <v>127</v>
      </c>
      <c r="D48" s="552" t="s">
        <v>214</v>
      </c>
    </row>
    <row r="49" spans="1:4" ht="13.5">
      <c r="A49" s="550" t="s">
        <v>202</v>
      </c>
      <c r="B49" s="448" t="s">
        <v>217</v>
      </c>
      <c r="C49" s="551" t="s">
        <v>127</v>
      </c>
      <c r="D49" s="552" t="s">
        <v>214</v>
      </c>
    </row>
    <row r="50" spans="1:4" ht="13.5">
      <c r="A50" s="550" t="s">
        <v>202</v>
      </c>
      <c r="B50" s="448" t="s">
        <v>221</v>
      </c>
      <c r="C50" s="551" t="s">
        <v>120</v>
      </c>
      <c r="D50" s="552" t="s">
        <v>220</v>
      </c>
    </row>
    <row r="51" spans="1:4" ht="13.5">
      <c r="A51" s="550" t="s">
        <v>202</v>
      </c>
      <c r="B51" s="448" t="s">
        <v>225</v>
      </c>
      <c r="C51" s="551" t="s">
        <v>120</v>
      </c>
      <c r="D51" s="552" t="s">
        <v>224</v>
      </c>
    </row>
    <row r="52" spans="1:4" ht="13.5">
      <c r="A52" s="550" t="s">
        <v>202</v>
      </c>
      <c r="B52" s="448" t="s">
        <v>228</v>
      </c>
      <c r="C52" s="551" t="s">
        <v>189</v>
      </c>
      <c r="D52" s="552" t="s">
        <v>227</v>
      </c>
    </row>
    <row r="53" spans="1:4">
      <c r="A53" s="550" t="s">
        <v>202</v>
      </c>
      <c r="B53" s="448" t="s">
        <v>229</v>
      </c>
      <c r="C53" s="551" t="s">
        <v>189</v>
      </c>
      <c r="D53" s="552"/>
    </row>
    <row r="54" spans="1:4">
      <c r="A54" s="550" t="s">
        <v>202</v>
      </c>
      <c r="B54" s="448" t="s">
        <v>230</v>
      </c>
      <c r="C54" s="551" t="s">
        <v>120</v>
      </c>
      <c r="D54" s="552"/>
    </row>
    <row r="55" spans="1:4">
      <c r="A55" s="550" t="s">
        <v>202</v>
      </c>
      <c r="B55" s="448" t="s">
        <v>231</v>
      </c>
      <c r="C55" s="551" t="s">
        <v>120</v>
      </c>
      <c r="D55" s="552"/>
    </row>
    <row r="56" spans="1:4">
      <c r="A56" s="550" t="s">
        <v>202</v>
      </c>
      <c r="B56" s="448" t="s">
        <v>232</v>
      </c>
      <c r="C56" s="551" t="s">
        <v>120</v>
      </c>
      <c r="D56" s="552"/>
    </row>
    <row r="57" spans="1:4" ht="27">
      <c r="A57" s="550" t="s">
        <v>202</v>
      </c>
      <c r="B57" s="448" t="s">
        <v>233</v>
      </c>
      <c r="C57" s="551" t="s">
        <v>120</v>
      </c>
      <c r="D57" s="552" t="s">
        <v>234</v>
      </c>
    </row>
    <row r="58" spans="1:4">
      <c r="A58" s="550" t="s">
        <v>202</v>
      </c>
      <c r="B58" s="448" t="s">
        <v>235</v>
      </c>
      <c r="C58" s="551" t="s">
        <v>189</v>
      </c>
      <c r="D58" s="552"/>
    </row>
    <row r="59" spans="1:4" ht="13.5">
      <c r="A59" s="550" t="s">
        <v>202</v>
      </c>
      <c r="B59" s="448" t="s">
        <v>71</v>
      </c>
      <c r="C59" s="551" t="s">
        <v>120</v>
      </c>
      <c r="D59" s="552" t="s">
        <v>276</v>
      </c>
    </row>
    <row r="60" spans="1:4">
      <c r="A60" s="550"/>
      <c r="B60" s="448"/>
      <c r="C60" s="551"/>
      <c r="D60" s="552"/>
    </row>
    <row r="61" spans="1:4">
      <c r="A61" s="554"/>
      <c r="B61" s="555"/>
      <c r="C61" s="556"/>
      <c r="D61" s="557"/>
    </row>
    <row r="62" spans="1:4">
      <c r="A62" s="550"/>
      <c r="B62" s="448"/>
      <c r="C62" s="551"/>
      <c r="D62" s="552"/>
    </row>
    <row r="63" spans="1:4">
      <c r="A63" s="550"/>
      <c r="B63" s="448"/>
      <c r="C63" s="551"/>
      <c r="D63" s="552"/>
    </row>
    <row r="64" spans="1:4">
      <c r="A64" s="550"/>
      <c r="B64" s="448" t="s">
        <v>277</v>
      </c>
      <c r="C64" s="551" t="s">
        <v>120</v>
      </c>
      <c r="D64" s="552"/>
    </row>
    <row r="65" spans="1:4">
      <c r="A65" s="550"/>
      <c r="B65" s="448" t="s">
        <v>278</v>
      </c>
      <c r="C65" s="551" t="s">
        <v>120</v>
      </c>
      <c r="D65" s="552"/>
    </row>
    <row r="66" spans="1:4">
      <c r="A66" s="550"/>
      <c r="B66" s="448"/>
      <c r="C66" s="551"/>
      <c r="D66" s="552"/>
    </row>
    <row r="67" spans="1:4">
      <c r="A67" s="554"/>
      <c r="B67" s="555"/>
      <c r="C67" s="556"/>
      <c r="D67" s="557"/>
    </row>
    <row r="68" spans="1:4">
      <c r="A68" s="550"/>
      <c r="B68" s="448"/>
      <c r="C68" s="551"/>
      <c r="D68" s="552"/>
    </row>
    <row r="69" spans="1:4">
      <c r="A69" s="550"/>
      <c r="B69" s="448"/>
      <c r="C69" s="551"/>
      <c r="D69" s="552"/>
    </row>
    <row r="70" spans="1:4" ht="13.5">
      <c r="A70" s="550" t="s">
        <v>244</v>
      </c>
      <c r="B70" s="448" t="s">
        <v>32</v>
      </c>
      <c r="C70" s="551" t="s">
        <v>31</v>
      </c>
      <c r="D70" s="552" t="s">
        <v>279</v>
      </c>
    </row>
    <row r="71" spans="1:4">
      <c r="A71" s="550" t="s">
        <v>246</v>
      </c>
      <c r="B71" s="448" t="s">
        <v>45</v>
      </c>
      <c r="C71" s="551"/>
      <c r="D71" s="552"/>
    </row>
    <row r="72" spans="1:4" ht="13.5">
      <c r="A72" s="550" t="s">
        <v>247</v>
      </c>
      <c r="B72" s="448" t="s">
        <v>49</v>
      </c>
      <c r="C72" s="551" t="s">
        <v>31</v>
      </c>
      <c r="D72" s="552" t="s">
        <v>280</v>
      </c>
    </row>
    <row r="73" spans="1:4" ht="13.5">
      <c r="A73" s="550" t="s">
        <v>247</v>
      </c>
      <c r="B73" s="448" t="s">
        <v>52</v>
      </c>
      <c r="C73" s="551" t="s">
        <v>31</v>
      </c>
      <c r="D73" s="552" t="s">
        <v>249</v>
      </c>
    </row>
    <row r="74" spans="1:4">
      <c r="A74" s="550"/>
      <c r="B74" s="448"/>
      <c r="C74" s="551"/>
      <c r="D74" s="552"/>
    </row>
    <row r="75" spans="1:4">
      <c r="A75" s="484"/>
      <c r="B75" s="343"/>
      <c r="C75" s="397"/>
      <c r="D75" s="394"/>
    </row>
    <row r="76" spans="1:4">
      <c r="A76" s="484"/>
      <c r="B76" s="343"/>
      <c r="C76" s="397"/>
      <c r="D76" s="394"/>
    </row>
    <row r="77" spans="1:4">
      <c r="A77" s="484"/>
      <c r="B77" s="343"/>
      <c r="C77" s="397"/>
      <c r="D77" s="394"/>
    </row>
    <row r="78" spans="1:4">
      <c r="A78" s="484"/>
      <c r="B78" s="343"/>
      <c r="C78" s="397"/>
      <c r="D78" s="394"/>
    </row>
    <row r="79" spans="1:4">
      <c r="A79" s="484"/>
      <c r="B79" s="343"/>
      <c r="C79" s="397"/>
      <c r="D79" s="394"/>
    </row>
    <row r="80" spans="1:4">
      <c r="A80" s="484"/>
      <c r="B80" s="343"/>
      <c r="C80" s="397"/>
      <c r="D80" s="394"/>
    </row>
    <row r="81" spans="1:4">
      <c r="A81" s="484"/>
      <c r="B81" s="343"/>
      <c r="C81" s="397"/>
      <c r="D81" s="394"/>
    </row>
    <row r="82" spans="1:4">
      <c r="A82" s="484"/>
      <c r="B82" s="343"/>
      <c r="C82" s="397"/>
      <c r="D82" s="394"/>
    </row>
    <row r="83" spans="1:4">
      <c r="A83" s="484"/>
      <c r="B83" s="343"/>
      <c r="C83" s="397"/>
      <c r="D83" s="394"/>
    </row>
    <row r="84" spans="1:4">
      <c r="A84" s="484"/>
      <c r="B84" s="343"/>
      <c r="C84" s="397"/>
      <c r="D84" s="394"/>
    </row>
    <row r="85" spans="1:4">
      <c r="A85" s="484"/>
      <c r="B85" s="343"/>
      <c r="C85" s="397"/>
      <c r="D85" s="394"/>
    </row>
    <row r="86" spans="1:4">
      <c r="A86" s="484"/>
      <c r="B86" s="343"/>
      <c r="C86" s="397"/>
      <c r="D86" s="394"/>
    </row>
    <row r="87" spans="1:4">
      <c r="A87" s="484"/>
      <c r="B87" s="343"/>
      <c r="C87" s="397"/>
      <c r="D87" s="394"/>
    </row>
    <row r="88" spans="1:4">
      <c r="A88" s="484"/>
      <c r="B88" s="343"/>
      <c r="C88" s="397"/>
      <c r="D88" s="394"/>
    </row>
    <row r="89" spans="1:4">
      <c r="A89" s="484"/>
      <c r="B89" s="343"/>
      <c r="C89" s="397"/>
      <c r="D89" s="394"/>
    </row>
    <row r="90" spans="1:4">
      <c r="A90" s="484"/>
      <c r="B90" s="343"/>
      <c r="C90" s="397"/>
      <c r="D90" s="394"/>
    </row>
    <row r="91" spans="1:4">
      <c r="A91" s="484"/>
      <c r="B91" s="343"/>
      <c r="C91" s="397"/>
      <c r="D91" s="394"/>
    </row>
    <row r="92" spans="1:4">
      <c r="A92" s="484"/>
      <c r="B92" s="343"/>
      <c r="C92" s="397"/>
      <c r="D92" s="394"/>
    </row>
    <row r="93" spans="1:4">
      <c r="A93" s="484"/>
      <c r="B93" s="343"/>
      <c r="C93" s="397"/>
      <c r="D93" s="394"/>
    </row>
    <row r="94" spans="1:4">
      <c r="A94" s="484"/>
      <c r="B94" s="343"/>
      <c r="C94" s="397"/>
      <c r="D94" s="394"/>
    </row>
    <row r="95" spans="1:4">
      <c r="A95" s="484"/>
      <c r="B95" s="343"/>
      <c r="C95" s="397"/>
      <c r="D95" s="394"/>
    </row>
    <row r="96" spans="1:4">
      <c r="A96" s="484"/>
      <c r="B96" s="343"/>
      <c r="C96" s="397"/>
      <c r="D96" s="394"/>
    </row>
    <row r="97" spans="1:4">
      <c r="A97" s="484"/>
      <c r="B97" s="343"/>
      <c r="C97" s="397"/>
      <c r="D97" s="394"/>
    </row>
    <row r="98" spans="1:4">
      <c r="A98" s="484"/>
      <c r="B98" s="343"/>
      <c r="C98" s="397"/>
      <c r="D98" s="394"/>
    </row>
    <row r="99" spans="1:4">
      <c r="C99" s="398"/>
      <c r="D99" s="156"/>
    </row>
    <row r="100" spans="1:4">
      <c r="D100" s="156"/>
    </row>
    <row r="101" spans="1:4">
      <c r="D101" s="156"/>
    </row>
  </sheetData>
  <sortState xmlns:xlrd2="http://schemas.microsoft.com/office/spreadsheetml/2017/richdata2" ref="A70:D73">
    <sortCondition ref="A70:A7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71E1F-7B24-4D56-91E8-50767AA32433}">
  <sheetPr codeName="Sheet1">
    <tabColor theme="6"/>
  </sheetPr>
  <dimension ref="A1:BK160"/>
  <sheetViews>
    <sheetView tabSelected="1" topLeftCell="A8" zoomScaleNormal="100" workbookViewId="0">
      <pane xSplit="3" ySplit="1" topLeftCell="AI9" activePane="bottomRight" state="frozen"/>
      <selection pane="bottomRight" activeCell="AN15" sqref="AN15"/>
      <selection pane="bottomLeft" activeCell="A10" sqref="A10"/>
      <selection pane="topRight" activeCell="D8" sqref="D8"/>
    </sheetView>
  </sheetViews>
  <sheetFormatPr defaultColWidth="9.28515625" defaultRowHeight="12.75"/>
  <cols>
    <col min="1" max="1" width="42.140625" style="167" customWidth="1"/>
    <col min="2" max="2" width="10.5703125" style="167" customWidth="1"/>
    <col min="3" max="3" width="12.5703125" style="167" customWidth="1"/>
    <col min="4" max="4" width="11.85546875" style="167" customWidth="1"/>
    <col min="5" max="6" width="11.85546875" style="168" customWidth="1"/>
    <col min="7" max="7" width="12" style="167" customWidth="1"/>
    <col min="8" max="9" width="12" style="168" customWidth="1"/>
    <col min="10" max="15" width="12" style="167" customWidth="1"/>
    <col min="16" max="18" width="12.42578125" style="167" customWidth="1"/>
    <col min="19" max="21" width="11.85546875" style="167" customWidth="1"/>
    <col min="22" max="24" width="11.28515625" style="167" customWidth="1"/>
    <col min="25" max="27" width="12.42578125" style="167" customWidth="1"/>
    <col min="28" max="30" width="12.28515625" style="167" customWidth="1"/>
    <col min="31" max="33" width="11.85546875" style="167" customWidth="1"/>
    <col min="34" max="39" width="12.28515625" style="167" customWidth="1"/>
    <col min="40" max="40" width="12.42578125" style="167" customWidth="1"/>
    <col min="41" max="41" width="9.85546875" style="167" bestFit="1" customWidth="1"/>
    <col min="42" max="42" width="52.7109375" style="208" customWidth="1"/>
    <col min="43" max="43" width="16" style="303" bestFit="1" customWidth="1"/>
    <col min="44" max="44" width="20.5703125" style="168" bestFit="1" customWidth="1"/>
    <col min="45" max="45" width="13.140625" style="168" bestFit="1" customWidth="1"/>
    <col min="46" max="46" width="23.42578125" style="168" bestFit="1" customWidth="1"/>
    <col min="47" max="62" width="9.28515625" style="168"/>
    <col min="63" max="16384" width="9.28515625" style="167"/>
  </cols>
  <sheetData>
    <row r="1" spans="1:63" s="203" customFormat="1">
      <c r="A1" s="203" t="s">
        <v>281</v>
      </c>
      <c r="AP1" s="204"/>
      <c r="AQ1" s="205"/>
    </row>
    <row r="2" spans="1:63" s="203" customFormat="1">
      <c r="A2" s="203" t="s">
        <v>282</v>
      </c>
      <c r="AP2" s="204"/>
      <c r="AQ2" s="205"/>
    </row>
    <row r="3" spans="1:63" s="203" customFormat="1">
      <c r="A3" s="203" t="s">
        <v>283</v>
      </c>
      <c r="AP3" s="204"/>
      <c r="AQ3" s="205"/>
    </row>
    <row r="4" spans="1:63" s="203" customFormat="1">
      <c r="A4" s="203" t="s">
        <v>284</v>
      </c>
      <c r="AP4" s="204"/>
      <c r="AQ4" s="205"/>
    </row>
    <row r="5" spans="1:63" s="203" customFormat="1">
      <c r="A5" s="203" t="s">
        <v>285</v>
      </c>
      <c r="AP5" s="204"/>
      <c r="AQ5" s="205"/>
    </row>
    <row r="6" spans="1:63" s="203" customFormat="1">
      <c r="AP6" s="204"/>
      <c r="AQ6" s="205"/>
    </row>
    <row r="7" spans="1:63">
      <c r="A7" s="206" t="s">
        <v>1</v>
      </c>
      <c r="B7" s="206" t="s">
        <v>2</v>
      </c>
      <c r="C7" s="206" t="s">
        <v>286</v>
      </c>
      <c r="D7" s="207" t="s">
        <v>287</v>
      </c>
      <c r="E7" s="206" t="s">
        <v>288</v>
      </c>
      <c r="F7" s="206" t="s">
        <v>289</v>
      </c>
      <c r="G7" s="207" t="s">
        <v>290</v>
      </c>
      <c r="H7" s="206" t="s">
        <v>291</v>
      </c>
      <c r="I7" s="206" t="s">
        <v>292</v>
      </c>
      <c r="J7" s="207" t="s">
        <v>293</v>
      </c>
      <c r="K7" s="207" t="s">
        <v>294</v>
      </c>
      <c r="L7" s="207" t="s">
        <v>295</v>
      </c>
      <c r="M7" s="207" t="s">
        <v>296</v>
      </c>
      <c r="N7" s="207" t="s">
        <v>297</v>
      </c>
      <c r="O7" s="207" t="s">
        <v>298</v>
      </c>
      <c r="P7" s="207" t="s">
        <v>299</v>
      </c>
      <c r="Q7" s="207" t="s">
        <v>300</v>
      </c>
      <c r="R7" s="207" t="s">
        <v>301</v>
      </c>
      <c r="S7" s="207" t="s">
        <v>302</v>
      </c>
      <c r="T7" s="207" t="s">
        <v>303</v>
      </c>
      <c r="U7" s="207" t="s">
        <v>304</v>
      </c>
      <c r="V7" s="207" t="s">
        <v>305</v>
      </c>
      <c r="W7" s="207" t="s">
        <v>306</v>
      </c>
      <c r="X7" s="207" t="s">
        <v>307</v>
      </c>
      <c r="Y7" s="207" t="s">
        <v>308</v>
      </c>
      <c r="Z7" s="207" t="s">
        <v>309</v>
      </c>
      <c r="AA7" s="207" t="s">
        <v>310</v>
      </c>
      <c r="AB7" s="207" t="s">
        <v>311</v>
      </c>
      <c r="AC7" s="207" t="s">
        <v>312</v>
      </c>
      <c r="AD7" s="207" t="s">
        <v>313</v>
      </c>
      <c r="AE7" s="207" t="s">
        <v>314</v>
      </c>
      <c r="AF7" s="207" t="s">
        <v>315</v>
      </c>
      <c r="AG7" s="207" t="s">
        <v>316</v>
      </c>
      <c r="AH7" s="207" t="s">
        <v>317</v>
      </c>
      <c r="AI7" s="207" t="s">
        <v>318</v>
      </c>
      <c r="AJ7" s="207" t="s">
        <v>319</v>
      </c>
      <c r="AK7" s="207" t="s">
        <v>320</v>
      </c>
      <c r="AL7" s="207" t="s">
        <v>321</v>
      </c>
      <c r="AM7" s="207" t="s">
        <v>322</v>
      </c>
      <c r="AN7" s="207" t="s">
        <v>323</v>
      </c>
      <c r="AO7" s="207" t="s">
        <v>324</v>
      </c>
      <c r="AP7" s="208" t="s">
        <v>17</v>
      </c>
      <c r="AQ7" s="206" t="s">
        <v>18</v>
      </c>
      <c r="AR7" s="167" t="s">
        <v>325</v>
      </c>
      <c r="AS7" s="167" t="s">
        <v>19</v>
      </c>
      <c r="AT7" s="168" t="s">
        <v>326</v>
      </c>
    </row>
    <row r="8" spans="1:63">
      <c r="A8" s="207"/>
      <c r="B8" s="207"/>
      <c r="C8" s="207"/>
      <c r="D8" s="209" t="s">
        <v>74</v>
      </c>
      <c r="E8" s="210" t="s">
        <v>75</v>
      </c>
      <c r="F8" s="211" t="s">
        <v>76</v>
      </c>
      <c r="G8" s="212" t="s">
        <v>74</v>
      </c>
      <c r="H8" s="210" t="s">
        <v>75</v>
      </c>
      <c r="I8" s="211" t="s">
        <v>76</v>
      </c>
      <c r="J8" s="209" t="s">
        <v>74</v>
      </c>
      <c r="K8" s="210" t="s">
        <v>75</v>
      </c>
      <c r="L8" s="211" t="s">
        <v>76</v>
      </c>
      <c r="M8" s="212" t="s">
        <v>74</v>
      </c>
      <c r="N8" s="210" t="s">
        <v>75</v>
      </c>
      <c r="O8" s="211" t="s">
        <v>76</v>
      </c>
      <c r="P8" s="206" t="s">
        <v>327</v>
      </c>
      <c r="Q8" s="210" t="s">
        <v>75</v>
      </c>
      <c r="R8" s="211" t="s">
        <v>76</v>
      </c>
      <c r="S8" s="206" t="s">
        <v>74</v>
      </c>
      <c r="T8" s="210" t="s">
        <v>75</v>
      </c>
      <c r="U8" s="211" t="s">
        <v>76</v>
      </c>
      <c r="V8" s="206" t="s">
        <v>74</v>
      </c>
      <c r="W8" s="210" t="s">
        <v>75</v>
      </c>
      <c r="X8" s="211" t="s">
        <v>76</v>
      </c>
      <c r="Y8" s="206" t="s">
        <v>74</v>
      </c>
      <c r="Z8" s="210" t="s">
        <v>75</v>
      </c>
      <c r="AA8" s="211" t="s">
        <v>76</v>
      </c>
      <c r="AB8" s="206" t="s">
        <v>74</v>
      </c>
      <c r="AC8" s="210" t="s">
        <v>75</v>
      </c>
      <c r="AD8" s="211" t="s">
        <v>76</v>
      </c>
      <c r="AE8" s="206" t="s">
        <v>74</v>
      </c>
      <c r="AF8" s="210" t="s">
        <v>75</v>
      </c>
      <c r="AG8" s="211" t="s">
        <v>76</v>
      </c>
      <c r="AH8" s="206" t="s">
        <v>74</v>
      </c>
      <c r="AI8" s="210" t="s">
        <v>75</v>
      </c>
      <c r="AJ8" s="211" t="s">
        <v>76</v>
      </c>
      <c r="AK8" s="206" t="s">
        <v>74</v>
      </c>
      <c r="AL8" s="210" t="s">
        <v>75</v>
      </c>
      <c r="AM8" s="211" t="s">
        <v>76</v>
      </c>
      <c r="AN8" s="207"/>
      <c r="AO8" s="207"/>
      <c r="AP8" s="415"/>
      <c r="AQ8" s="206"/>
      <c r="AR8" s="346"/>
    </row>
    <row r="9" spans="1:63">
      <c r="A9" s="206" t="s">
        <v>1</v>
      </c>
      <c r="B9" s="206" t="s">
        <v>2</v>
      </c>
      <c r="C9" s="206" t="s">
        <v>3</v>
      </c>
      <c r="D9" s="213">
        <v>45658</v>
      </c>
      <c r="E9" s="213">
        <v>45658</v>
      </c>
      <c r="F9" s="213">
        <v>45658</v>
      </c>
      <c r="G9" s="214">
        <v>45689</v>
      </c>
      <c r="H9" s="214">
        <v>45689</v>
      </c>
      <c r="I9" s="214">
        <v>45689</v>
      </c>
      <c r="J9" s="213">
        <v>45717</v>
      </c>
      <c r="K9" s="215">
        <v>45741</v>
      </c>
      <c r="L9" s="215">
        <v>45741</v>
      </c>
      <c r="M9" s="214">
        <v>45748</v>
      </c>
      <c r="N9" s="215">
        <v>45772</v>
      </c>
      <c r="O9" s="215">
        <v>45772</v>
      </c>
      <c r="P9" s="215">
        <v>45778</v>
      </c>
      <c r="Q9" s="215">
        <v>45778</v>
      </c>
      <c r="R9" s="215">
        <v>45802</v>
      </c>
      <c r="S9" s="215">
        <v>45809</v>
      </c>
      <c r="T9" s="215">
        <v>45809</v>
      </c>
      <c r="U9" s="215">
        <v>45809</v>
      </c>
      <c r="V9" s="215">
        <v>45839</v>
      </c>
      <c r="W9" s="215">
        <v>45839</v>
      </c>
      <c r="X9" s="215">
        <v>45839</v>
      </c>
      <c r="Y9" s="215">
        <v>45870</v>
      </c>
      <c r="Z9" s="215">
        <v>45870</v>
      </c>
      <c r="AA9" s="215">
        <v>45870</v>
      </c>
      <c r="AB9" s="215">
        <v>45901</v>
      </c>
      <c r="AC9" s="215">
        <v>45901</v>
      </c>
      <c r="AD9" s="215">
        <v>45901</v>
      </c>
      <c r="AE9" s="215">
        <v>45931</v>
      </c>
      <c r="AF9" s="215">
        <v>45931</v>
      </c>
      <c r="AG9" s="215">
        <v>45931</v>
      </c>
      <c r="AH9" s="215">
        <v>45962</v>
      </c>
      <c r="AI9" s="215">
        <v>45962</v>
      </c>
      <c r="AJ9" s="215">
        <v>45962</v>
      </c>
      <c r="AK9" s="215">
        <v>45992</v>
      </c>
      <c r="AL9" s="215">
        <v>45992</v>
      </c>
      <c r="AM9" s="215">
        <v>45992</v>
      </c>
      <c r="AN9" s="215" t="s">
        <v>328</v>
      </c>
      <c r="AO9" s="215" t="s">
        <v>77</v>
      </c>
      <c r="AP9" s="415" t="s">
        <v>17</v>
      </c>
      <c r="AQ9" s="206" t="s">
        <v>18</v>
      </c>
      <c r="AR9" s="206" t="s">
        <v>19</v>
      </c>
      <c r="AS9" s="206" t="s">
        <v>20</v>
      </c>
    </row>
    <row r="10" spans="1:63">
      <c r="A10" s="315" t="s">
        <v>80</v>
      </c>
      <c r="B10" s="217"/>
      <c r="C10" s="217"/>
      <c r="D10" s="217"/>
      <c r="E10" s="217"/>
      <c r="F10" s="217"/>
      <c r="G10" s="217"/>
      <c r="H10" s="217"/>
      <c r="I10" s="223">
        <f t="shared" ref="I10:I13" si="0">G10-H10</f>
        <v>0</v>
      </c>
      <c r="J10" s="217"/>
      <c r="K10" s="217"/>
      <c r="L10" s="217"/>
      <c r="M10" s="217"/>
      <c r="N10" s="207"/>
      <c r="O10" s="217"/>
      <c r="P10" s="217"/>
      <c r="Q10" s="20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415"/>
      <c r="AQ10" s="219"/>
      <c r="AR10" s="369"/>
      <c r="AS10" s="498"/>
      <c r="AT10" s="157"/>
    </row>
    <row r="11" spans="1:63">
      <c r="A11" s="235" t="s">
        <v>85</v>
      </c>
      <c r="B11" s="235" t="s">
        <v>82</v>
      </c>
      <c r="C11" s="235" t="s">
        <v>83</v>
      </c>
      <c r="D11" s="248"/>
      <c r="E11" s="168">
        <v>13586</v>
      </c>
      <c r="F11" s="223">
        <f t="shared" ref="F11:F13" si="1">D11-E11</f>
        <v>-13586</v>
      </c>
      <c r="G11" s="251"/>
      <c r="H11" s="168">
        <v>18217</v>
      </c>
      <c r="I11" s="225">
        <f t="shared" si="0"/>
        <v>-18217</v>
      </c>
      <c r="J11" s="248"/>
      <c r="K11" s="238">
        <v>21649</v>
      </c>
      <c r="L11" s="225">
        <f t="shared" ref="L11:L13" si="2">J11-K11</f>
        <v>-21649</v>
      </c>
      <c r="M11" s="251"/>
      <c r="N11" s="227">
        <v>25403</v>
      </c>
      <c r="O11" s="239">
        <f t="shared" ref="O11:O13" si="3">M11-N11</f>
        <v>-25403</v>
      </c>
      <c r="P11" s="227"/>
      <c r="Q11" s="227">
        <v>4610</v>
      </c>
      <c r="R11" s="239">
        <f t="shared" ref="R11:R13" si="4">P11-Q11</f>
        <v>-4610</v>
      </c>
      <c r="S11" s="227"/>
      <c r="T11" s="227">
        <v>2558</v>
      </c>
      <c r="U11" s="239">
        <f t="shared" ref="U11:U13" si="5">S11-T11</f>
        <v>-2558</v>
      </c>
      <c r="V11" s="227"/>
      <c r="W11" s="227">
        <v>2558</v>
      </c>
      <c r="X11" s="239">
        <f t="shared" ref="X11:X13" si="6">V11-W11</f>
        <v>-2558</v>
      </c>
      <c r="Y11" s="227"/>
      <c r="Z11" s="227">
        <v>4129</v>
      </c>
      <c r="AA11" s="239">
        <f t="shared" ref="AA11:AA13" si="7">Y11-Z11</f>
        <v>-4129</v>
      </c>
      <c r="AB11" s="227"/>
      <c r="AC11" s="227">
        <v>3914</v>
      </c>
      <c r="AD11" s="239">
        <f t="shared" ref="AD11:AD13" si="8">AB11-AC11</f>
        <v>-3914</v>
      </c>
      <c r="AE11" s="227"/>
      <c r="AF11" s="227">
        <v>6886</v>
      </c>
      <c r="AG11" s="239">
        <f t="shared" ref="AG11:AG13" si="9">AE11-AF11</f>
        <v>-6886</v>
      </c>
      <c r="AH11" s="227"/>
      <c r="AI11" s="227">
        <v>5753</v>
      </c>
      <c r="AJ11" s="239">
        <f t="shared" ref="AJ11:AJ13" si="10">AH11-AI11</f>
        <v>-5753</v>
      </c>
      <c r="AK11" s="227"/>
      <c r="AL11" s="227">
        <v>11533</v>
      </c>
      <c r="AM11" s="239">
        <f t="shared" ref="AM11:AM13" si="11">AK11-AL11</f>
        <v>-11533</v>
      </c>
      <c r="AN11" s="240" cm="1">
        <f t="array" ref="AN11">SUMPRODUCT((D$8:AK$8&lt;&gt;"Margin")*(D$8:AK$8&lt;&gt;"Salary_$600")*D11:AK11)</f>
        <v>0</v>
      </c>
      <c r="AO11" s="240" cm="1">
        <f t="array" ref="AO11">SUMPRODUCT((D$8:AN$8="Margin")*D11:AN11)</f>
        <v>-120796</v>
      </c>
      <c r="AP11" s="415"/>
      <c r="AQ11" s="242"/>
      <c r="AR11" s="369"/>
      <c r="AS11" s="498"/>
      <c r="AT11" s="157"/>
      <c r="BK11" s="207"/>
    </row>
    <row r="12" spans="1:63">
      <c r="A12" s="235" t="s">
        <v>329</v>
      </c>
      <c r="B12" s="235" t="s">
        <v>82</v>
      </c>
      <c r="C12" s="235" t="s">
        <v>83</v>
      </c>
      <c r="D12" s="248"/>
      <c r="F12" s="223">
        <f t="shared" si="1"/>
        <v>0</v>
      </c>
      <c r="G12" s="251"/>
      <c r="I12" s="225">
        <f t="shared" si="0"/>
        <v>0</v>
      </c>
      <c r="J12" s="248"/>
      <c r="K12" s="238"/>
      <c r="L12" s="225">
        <f t="shared" si="2"/>
        <v>0</v>
      </c>
      <c r="M12" s="251"/>
      <c r="N12" s="227"/>
      <c r="O12" s="239">
        <f t="shared" si="3"/>
        <v>0</v>
      </c>
      <c r="P12" s="227"/>
      <c r="Q12" s="227"/>
      <c r="R12" s="239">
        <f t="shared" si="4"/>
        <v>0</v>
      </c>
      <c r="S12" s="227"/>
      <c r="T12" s="227"/>
      <c r="U12" s="239">
        <f t="shared" si="5"/>
        <v>0</v>
      </c>
      <c r="V12" s="227"/>
      <c r="W12" s="227"/>
      <c r="X12" s="239">
        <f t="shared" si="6"/>
        <v>0</v>
      </c>
      <c r="Y12" s="227"/>
      <c r="Z12" s="227"/>
      <c r="AA12" s="239">
        <f t="shared" si="7"/>
        <v>0</v>
      </c>
      <c r="AB12" s="227"/>
      <c r="AC12" s="227"/>
      <c r="AD12" s="239">
        <f t="shared" si="8"/>
        <v>0</v>
      </c>
      <c r="AE12" s="227"/>
      <c r="AF12" s="227"/>
      <c r="AG12" s="239">
        <f t="shared" si="9"/>
        <v>0</v>
      </c>
      <c r="AH12" s="227"/>
      <c r="AI12" s="227">
        <v>3295</v>
      </c>
      <c r="AJ12" s="239">
        <f t="shared" si="10"/>
        <v>-3295</v>
      </c>
      <c r="AK12" s="227"/>
      <c r="AL12" s="227">
        <v>3295</v>
      </c>
      <c r="AM12" s="239">
        <f t="shared" si="11"/>
        <v>-3295</v>
      </c>
      <c r="AN12" s="240" cm="1">
        <f t="array" ref="AN12">SUMPRODUCT((D$8:AK$8&lt;&gt;"Margin")*(D$8:AK$8&lt;&gt;"Salary_$600")*D12:AK12)</f>
        <v>0</v>
      </c>
      <c r="AO12" s="240" cm="1">
        <f t="array" ref="AO12">SUMPRODUCT((D$8:AN$8="Margin")*D12:AN12)</f>
        <v>-6590</v>
      </c>
      <c r="AP12" s="415"/>
      <c r="AQ12" s="242"/>
      <c r="AR12" s="369"/>
      <c r="AS12" s="498"/>
      <c r="AT12" s="157"/>
      <c r="BK12" s="207"/>
    </row>
    <row r="13" spans="1:63">
      <c r="A13" s="235" t="s">
        <v>92</v>
      </c>
      <c r="B13" s="235" t="s">
        <v>82</v>
      </c>
      <c r="C13" s="235" t="s">
        <v>83</v>
      </c>
      <c r="D13" s="248"/>
      <c r="E13" s="168">
        <v>3628</v>
      </c>
      <c r="F13" s="223">
        <f t="shared" si="1"/>
        <v>-3628</v>
      </c>
      <c r="G13" s="251"/>
      <c r="H13" s="168">
        <v>3628</v>
      </c>
      <c r="I13" s="225">
        <f t="shared" si="0"/>
        <v>-3628</v>
      </c>
      <c r="J13" s="248"/>
      <c r="K13" s="238">
        <v>6838</v>
      </c>
      <c r="L13" s="225">
        <f t="shared" si="2"/>
        <v>-6838</v>
      </c>
      <c r="M13" s="251"/>
      <c r="N13" s="227">
        <v>7574</v>
      </c>
      <c r="O13" s="239">
        <f t="shared" si="3"/>
        <v>-7574</v>
      </c>
      <c r="P13" s="227"/>
      <c r="Q13" s="227">
        <v>7574</v>
      </c>
      <c r="R13" s="239">
        <f t="shared" si="4"/>
        <v>-7574</v>
      </c>
      <c r="S13" s="227"/>
      <c r="T13" s="227">
        <v>10186</v>
      </c>
      <c r="U13" s="239">
        <f t="shared" si="5"/>
        <v>-10186</v>
      </c>
      <c r="V13" s="227"/>
      <c r="W13" s="227">
        <v>10186</v>
      </c>
      <c r="X13" s="239">
        <f t="shared" si="6"/>
        <v>-10186</v>
      </c>
      <c r="Y13" s="227"/>
      <c r="Z13" s="227">
        <v>10186</v>
      </c>
      <c r="AA13" s="239">
        <f t="shared" si="7"/>
        <v>-10186</v>
      </c>
      <c r="AB13" s="227"/>
      <c r="AC13" s="227">
        <v>10186</v>
      </c>
      <c r="AD13" s="239">
        <f t="shared" si="8"/>
        <v>-10186</v>
      </c>
      <c r="AE13" s="227"/>
      <c r="AF13" s="227">
        <v>10448</v>
      </c>
      <c r="AG13" s="239">
        <f t="shared" si="9"/>
        <v>-10448</v>
      </c>
      <c r="AH13" s="227"/>
      <c r="AI13" s="227">
        <v>10630</v>
      </c>
      <c r="AJ13" s="239">
        <f t="shared" si="10"/>
        <v>-10630</v>
      </c>
      <c r="AK13" s="227"/>
      <c r="AL13" s="227">
        <v>10630</v>
      </c>
      <c r="AM13" s="239">
        <f t="shared" si="11"/>
        <v>-10630</v>
      </c>
      <c r="AN13" s="240" cm="1">
        <f t="array" ref="AN13">SUMPRODUCT((D$8:AK$8&lt;&gt;"Margin")*(D$8:AK$8&lt;&gt;"Salary_$600")*D13:AK13)</f>
        <v>0</v>
      </c>
      <c r="AO13" s="240" cm="1">
        <f t="array" ref="AO13">SUMPRODUCT((D$8:AN$8="Margin")*D13:AN13)</f>
        <v>-101694</v>
      </c>
      <c r="AP13" s="415"/>
      <c r="AQ13" s="242"/>
      <c r="AR13" s="369"/>
      <c r="AS13" s="498"/>
      <c r="AT13" s="157"/>
      <c r="BK13" s="207"/>
    </row>
    <row r="14" spans="1:63" s="234" customFormat="1" ht="15">
      <c r="A14" s="220" t="s">
        <v>330</v>
      </c>
      <c r="B14" s="221" t="s">
        <v>94</v>
      </c>
      <c r="C14" s="221" t="s">
        <v>95</v>
      </c>
      <c r="D14" s="222">
        <v>4000</v>
      </c>
      <c r="E14" s="168"/>
      <c r="F14" s="223">
        <v>817</v>
      </c>
      <c r="G14" s="224">
        <v>4000</v>
      </c>
      <c r="H14" s="168"/>
      <c r="I14" s="225">
        <v>817</v>
      </c>
      <c r="J14" s="222">
        <v>2400</v>
      </c>
      <c r="K14" s="226">
        <v>1583</v>
      </c>
      <c r="L14" s="223">
        <v>817</v>
      </c>
      <c r="M14" s="224">
        <v>0</v>
      </c>
      <c r="N14" s="227"/>
      <c r="O14" s="228"/>
      <c r="P14" s="229">
        <v>0</v>
      </c>
      <c r="Q14" s="227"/>
      <c r="R14" s="228"/>
      <c r="S14" s="229">
        <v>0</v>
      </c>
      <c r="T14" s="227"/>
      <c r="U14" s="228"/>
      <c r="V14" s="229">
        <v>0</v>
      </c>
      <c r="W14" s="227"/>
      <c r="X14" s="228"/>
      <c r="Y14" s="229">
        <v>0</v>
      </c>
      <c r="Z14" s="227"/>
      <c r="AA14" s="228"/>
      <c r="AB14" s="229">
        <v>0</v>
      </c>
      <c r="AC14" s="227">
        <v>0</v>
      </c>
      <c r="AD14" s="228">
        <v>0</v>
      </c>
      <c r="AE14" s="229">
        <v>0</v>
      </c>
      <c r="AF14" s="229">
        <v>0</v>
      </c>
      <c r="AG14" s="229">
        <v>0</v>
      </c>
      <c r="AH14" s="229">
        <v>0</v>
      </c>
      <c r="AI14" s="229">
        <v>0</v>
      </c>
      <c r="AJ14" s="229">
        <v>0</v>
      </c>
      <c r="AK14" s="229">
        <v>0</v>
      </c>
      <c r="AL14" s="229">
        <v>0</v>
      </c>
      <c r="AM14" s="229">
        <v>0</v>
      </c>
      <c r="AN14" s="230" cm="1">
        <f t="array" ref="AN14">SUMPRODUCT((D$8:AK$8&lt;&gt;"Margin")*(D$8:AK$8&lt;&gt;"Salary_$600")*D14:AK14)</f>
        <v>10400</v>
      </c>
      <c r="AO14" s="230" cm="1">
        <f t="array" ref="AO14">SUMPRODUCT((D$8:AN$8="Margin")*D14:AN14)</f>
        <v>2451</v>
      </c>
      <c r="AP14" s="415" t="s">
        <v>331</v>
      </c>
      <c r="AQ14" s="231"/>
      <c r="AR14" s="369" t="s">
        <v>330</v>
      </c>
      <c r="AS14" s="498" t="s">
        <v>84</v>
      </c>
      <c r="AT14" s="366"/>
      <c r="AU14" s="232"/>
      <c r="AV14" s="232"/>
      <c r="AW14" s="232"/>
      <c r="AX14" s="232"/>
      <c r="AY14" s="232"/>
      <c r="AZ14" s="232"/>
      <c r="BA14" s="232"/>
      <c r="BB14" s="232"/>
      <c r="BC14" s="232"/>
      <c r="BD14" s="232"/>
      <c r="BE14" s="232"/>
      <c r="BF14" s="232"/>
      <c r="BG14" s="232"/>
      <c r="BH14" s="232"/>
      <c r="BI14" s="232"/>
      <c r="BJ14" s="232"/>
      <c r="BK14" s="233"/>
    </row>
    <row r="15" spans="1:63">
      <c r="A15" s="235" t="s">
        <v>93</v>
      </c>
      <c r="B15" s="235" t="s">
        <v>94</v>
      </c>
      <c r="C15" s="235" t="s">
        <v>95</v>
      </c>
      <c r="D15" s="236">
        <v>36580</v>
      </c>
      <c r="F15" s="223">
        <v>4772</v>
      </c>
      <c r="G15" s="237">
        <v>32922</v>
      </c>
      <c r="I15" s="225">
        <v>4772</v>
      </c>
      <c r="J15" s="236">
        <v>32922</v>
      </c>
      <c r="K15" s="238">
        <v>28150</v>
      </c>
      <c r="L15" s="225">
        <v>4772</v>
      </c>
      <c r="M15" s="237">
        <v>32922</v>
      </c>
      <c r="N15" s="227">
        <v>29735</v>
      </c>
      <c r="O15" s="239">
        <v>3187</v>
      </c>
      <c r="P15" s="227">
        <v>32922</v>
      </c>
      <c r="Q15" s="227">
        <v>29735</v>
      </c>
      <c r="R15" s="239">
        <v>3187</v>
      </c>
      <c r="S15" s="227">
        <v>32922</v>
      </c>
      <c r="T15" s="227">
        <v>29735</v>
      </c>
      <c r="U15" s="239">
        <v>3187</v>
      </c>
      <c r="V15" s="227">
        <v>32922</v>
      </c>
      <c r="W15" s="227">
        <v>29735</v>
      </c>
      <c r="X15" s="239">
        <v>3187</v>
      </c>
      <c r="Y15" s="227">
        <v>32922</v>
      </c>
      <c r="Z15" s="227">
        <v>29735</v>
      </c>
      <c r="AA15" s="239">
        <v>3187</v>
      </c>
      <c r="AB15" s="227">
        <v>32922</v>
      </c>
      <c r="AC15" s="227">
        <v>29735</v>
      </c>
      <c r="AD15" s="239">
        <v>3187</v>
      </c>
      <c r="AE15" s="227">
        <v>32922</v>
      </c>
      <c r="AF15" s="227">
        <v>29735</v>
      </c>
      <c r="AG15" s="239">
        <v>3187</v>
      </c>
      <c r="AH15" s="227">
        <v>32922</v>
      </c>
      <c r="AI15" s="227">
        <v>29735</v>
      </c>
      <c r="AJ15" s="239">
        <v>3187</v>
      </c>
      <c r="AK15" s="227">
        <v>32922</v>
      </c>
      <c r="AL15" s="227">
        <v>29735</v>
      </c>
      <c r="AM15" s="239">
        <v>3187</v>
      </c>
      <c r="AN15" s="240" cm="1">
        <f t="array" ref="AN15">SUMPRODUCT((D$8:AK$8&lt;&gt;"Margin")*(D$8:AK$8&lt;&gt;"Salary_$600")*D15:AK15)</f>
        <v>398722</v>
      </c>
      <c r="AO15" s="240" cm="1">
        <f t="array" ref="AO15">SUMPRODUCT((D$8:AN$8="Margin")*D15:AN15)</f>
        <v>42999</v>
      </c>
      <c r="AP15" s="415" t="s">
        <v>332</v>
      </c>
      <c r="AQ15" s="242" t="s">
        <v>31</v>
      </c>
      <c r="AR15" s="369" t="s">
        <v>97</v>
      </c>
      <c r="AS15" s="498" t="s">
        <v>84</v>
      </c>
      <c r="AT15" s="157"/>
    </row>
    <row r="16" spans="1:63" s="243" customFormat="1" ht="15">
      <c r="A16" s="220" t="s">
        <v>333</v>
      </c>
      <c r="B16" s="221" t="s">
        <v>94</v>
      </c>
      <c r="C16" s="221" t="s">
        <v>95</v>
      </c>
      <c r="D16" s="222">
        <v>3850</v>
      </c>
      <c r="E16" s="225">
        <v>2850</v>
      </c>
      <c r="F16" s="223">
        <f>D16-E16</f>
        <v>1000</v>
      </c>
      <c r="G16" s="224">
        <v>9240</v>
      </c>
      <c r="H16" s="168"/>
      <c r="I16" s="225">
        <v>9240</v>
      </c>
      <c r="J16" s="222">
        <v>0</v>
      </c>
      <c r="K16" s="226">
        <v>0</v>
      </c>
      <c r="L16" s="223">
        <v>0</v>
      </c>
      <c r="M16" s="224">
        <v>0</v>
      </c>
      <c r="N16" s="227"/>
      <c r="O16" s="228"/>
      <c r="P16" s="229">
        <v>0</v>
      </c>
      <c r="Q16" s="227"/>
      <c r="R16" s="228"/>
      <c r="S16" s="229">
        <v>0</v>
      </c>
      <c r="T16" s="227"/>
      <c r="U16" s="228"/>
      <c r="V16" s="229">
        <v>0</v>
      </c>
      <c r="W16" s="227"/>
      <c r="X16" s="228"/>
      <c r="Y16" s="229">
        <v>0</v>
      </c>
      <c r="Z16" s="227"/>
      <c r="AA16" s="228"/>
      <c r="AB16" s="229">
        <v>0</v>
      </c>
      <c r="AC16" s="227">
        <v>0</v>
      </c>
      <c r="AD16" s="228"/>
      <c r="AE16" s="229">
        <v>0</v>
      </c>
      <c r="AF16" s="229">
        <v>0</v>
      </c>
      <c r="AG16" s="229">
        <v>0</v>
      </c>
      <c r="AH16" s="229">
        <v>0</v>
      </c>
      <c r="AI16" s="229">
        <v>0</v>
      </c>
      <c r="AJ16" s="229">
        <v>0</v>
      </c>
      <c r="AK16" s="229">
        <v>0</v>
      </c>
      <c r="AL16" s="229">
        <v>0</v>
      </c>
      <c r="AM16" s="229">
        <v>0</v>
      </c>
      <c r="AN16" s="230" cm="1">
        <f t="array" ref="AN16">SUMPRODUCT((D$8:AK$8&lt;&gt;"Margin")*(D$8:AK$8&lt;&gt;"Salary_$600")*D16:AK16)</f>
        <v>13090</v>
      </c>
      <c r="AO16" s="230" cm="1">
        <f t="array" ref="AO16">SUMPRODUCT((D$8:AN$8="Margin")*D16:AN16)</f>
        <v>10240</v>
      </c>
      <c r="AP16" s="415" t="s">
        <v>334</v>
      </c>
      <c r="AQ16" s="231"/>
      <c r="AR16" s="369" t="s">
        <v>97</v>
      </c>
      <c r="AS16" s="498" t="s">
        <v>84</v>
      </c>
      <c r="AT16" s="366"/>
      <c r="AU16" s="232"/>
      <c r="AV16" s="232"/>
      <c r="AW16" s="232"/>
      <c r="AX16" s="232"/>
      <c r="AY16" s="232"/>
      <c r="AZ16" s="232"/>
      <c r="BA16" s="232"/>
      <c r="BB16" s="232"/>
      <c r="BC16" s="232"/>
      <c r="BD16" s="232"/>
      <c r="BE16" s="232"/>
      <c r="BF16" s="232"/>
      <c r="BG16" s="232"/>
      <c r="BH16" s="232"/>
      <c r="BI16" s="232"/>
      <c r="BJ16" s="232"/>
      <c r="BK16" s="233"/>
    </row>
    <row r="17" spans="1:63">
      <c r="A17" s="235" t="s">
        <v>105</v>
      </c>
      <c r="B17" s="235" t="s">
        <v>94</v>
      </c>
      <c r="C17" s="235" t="s">
        <v>95</v>
      </c>
      <c r="D17" s="236">
        <v>5000</v>
      </c>
      <c r="F17" s="223">
        <v>1999</v>
      </c>
      <c r="G17" s="237">
        <v>0</v>
      </c>
      <c r="I17" s="225">
        <v>1999</v>
      </c>
      <c r="J17" s="236">
        <v>4995</v>
      </c>
      <c r="K17" s="238">
        <v>1555</v>
      </c>
      <c r="L17" s="225">
        <v>1999</v>
      </c>
      <c r="M17" s="237">
        <v>0</v>
      </c>
      <c r="N17" s="227">
        <v>849</v>
      </c>
      <c r="O17" s="239">
        <v>1150</v>
      </c>
      <c r="P17" s="229">
        <v>0</v>
      </c>
      <c r="Q17" s="227">
        <v>849</v>
      </c>
      <c r="R17" s="239">
        <v>1150</v>
      </c>
      <c r="S17" s="229">
        <v>5000</v>
      </c>
      <c r="T17" s="227">
        <v>849</v>
      </c>
      <c r="U17" s="239">
        <v>1150</v>
      </c>
      <c r="V17" s="229">
        <v>0</v>
      </c>
      <c r="W17" s="227">
        <v>849</v>
      </c>
      <c r="X17" s="239">
        <v>1150</v>
      </c>
      <c r="Y17" s="229">
        <v>4995</v>
      </c>
      <c r="Z17" s="227">
        <v>849</v>
      </c>
      <c r="AA17" s="239">
        <v>1150</v>
      </c>
      <c r="AB17" s="119">
        <v>0</v>
      </c>
      <c r="AC17" s="227">
        <v>849</v>
      </c>
      <c r="AD17" s="239">
        <v>1150</v>
      </c>
      <c r="AE17" s="119">
        <v>0</v>
      </c>
      <c r="AF17" s="227">
        <v>849</v>
      </c>
      <c r="AG17" s="239">
        <v>1150</v>
      </c>
      <c r="AH17" s="119">
        <v>5000</v>
      </c>
      <c r="AI17" s="227">
        <v>849</v>
      </c>
      <c r="AJ17" s="239">
        <v>1150</v>
      </c>
      <c r="AK17" s="119">
        <v>0</v>
      </c>
      <c r="AL17" s="227">
        <v>849</v>
      </c>
      <c r="AM17" s="239">
        <v>1150</v>
      </c>
      <c r="AN17" s="240" cm="1">
        <f t="array" ref="AN17">SUMPRODUCT((D$8:AK$8&lt;&gt;"Margin")*(D$8:AK$8&lt;&gt;"Salary_$600")*D17:AK17)</f>
        <v>24990</v>
      </c>
      <c r="AO17" s="240" cm="1">
        <f t="array" ref="AO17">SUMPRODUCT((D$8:AN$8="Margin")*D17:AN17)</f>
        <v>16347</v>
      </c>
      <c r="AP17" s="415" t="s">
        <v>335</v>
      </c>
      <c r="AQ17" s="242" t="s">
        <v>31</v>
      </c>
      <c r="AR17" s="369" t="s">
        <v>107</v>
      </c>
      <c r="AS17" s="498" t="s">
        <v>84</v>
      </c>
      <c r="AT17" s="157"/>
    </row>
    <row r="18" spans="1:63" ht="15">
      <c r="A18" s="220" t="s">
        <v>336</v>
      </c>
      <c r="B18" s="221" t="s">
        <v>94</v>
      </c>
      <c r="C18" s="221" t="s">
        <v>95</v>
      </c>
      <c r="D18" s="222">
        <v>3500</v>
      </c>
      <c r="E18" s="244"/>
      <c r="F18" s="223">
        <v>1682</v>
      </c>
      <c r="G18" s="224">
        <v>3500</v>
      </c>
      <c r="I18" s="225">
        <v>1682</v>
      </c>
      <c r="J18" s="222">
        <v>3500</v>
      </c>
      <c r="K18" s="245">
        <v>1818</v>
      </c>
      <c r="L18" s="223">
        <v>1682</v>
      </c>
      <c r="M18" s="224">
        <v>3500</v>
      </c>
      <c r="N18" s="227">
        <v>1818</v>
      </c>
      <c r="O18" s="228">
        <v>1682</v>
      </c>
      <c r="P18" s="229">
        <v>3500</v>
      </c>
      <c r="Q18" s="227">
        <v>1818</v>
      </c>
      <c r="R18" s="228">
        <v>1682</v>
      </c>
      <c r="S18" s="229">
        <v>3500</v>
      </c>
      <c r="T18" s="227">
        <v>1818</v>
      </c>
      <c r="U18" s="228">
        <v>1682</v>
      </c>
      <c r="V18" s="229">
        <v>3500</v>
      </c>
      <c r="W18" s="227">
        <v>1818</v>
      </c>
      <c r="X18" s="228">
        <v>1682</v>
      </c>
      <c r="Y18" s="229">
        <v>2000</v>
      </c>
      <c r="Z18" s="227">
        <v>1818</v>
      </c>
      <c r="AA18" s="228">
        <v>1682</v>
      </c>
      <c r="AB18" s="229"/>
      <c r="AC18" s="227"/>
      <c r="AD18" s="228"/>
      <c r="AE18" s="229"/>
      <c r="AF18" s="229"/>
      <c r="AG18" s="229"/>
      <c r="AH18" s="229"/>
      <c r="AI18" s="229"/>
      <c r="AJ18" s="229"/>
      <c r="AK18" s="229"/>
      <c r="AL18" s="229"/>
      <c r="AM18" s="229"/>
      <c r="AN18" s="230" cm="1">
        <f t="array" ref="AN18">SUMPRODUCT((D$8:AK$8&lt;&gt;"Margin")*(D$8:AK$8&lt;&gt;"Salary_$600")*D18:AK18)</f>
        <v>26500</v>
      </c>
      <c r="AO18" s="230" cm="1">
        <f t="array" ref="AO18">SUMPRODUCT((D$8:AN$8="Margin")*D18:AN18)</f>
        <v>13456</v>
      </c>
      <c r="AP18" s="415" t="s">
        <v>337</v>
      </c>
      <c r="AQ18" s="231"/>
      <c r="AR18" s="369" t="s">
        <v>336</v>
      </c>
      <c r="AS18" s="498" t="s">
        <v>84</v>
      </c>
      <c r="AT18" s="367"/>
      <c r="AU18" s="246"/>
      <c r="AV18" s="246"/>
      <c r="AW18" s="246"/>
      <c r="AX18" s="246"/>
      <c r="AY18" s="246"/>
      <c r="AZ18" s="246"/>
      <c r="BA18" s="246"/>
      <c r="BB18" s="246"/>
      <c r="BC18" s="246"/>
      <c r="BD18" s="246"/>
      <c r="BE18" s="246"/>
      <c r="BF18" s="246"/>
      <c r="BG18" s="246"/>
      <c r="BH18" s="246"/>
      <c r="BI18" s="246"/>
      <c r="BJ18" s="246"/>
      <c r="BK18" s="247"/>
    </row>
    <row r="19" spans="1:63">
      <c r="A19" s="235" t="s">
        <v>108</v>
      </c>
      <c r="B19" s="235" t="s">
        <v>94</v>
      </c>
      <c r="C19" s="235" t="s">
        <v>101</v>
      </c>
      <c r="D19" s="248">
        <v>0</v>
      </c>
      <c r="F19" s="223">
        <v>444</v>
      </c>
      <c r="G19" s="237">
        <v>0</v>
      </c>
      <c r="I19" s="225">
        <v>444</v>
      </c>
      <c r="J19" s="248">
        <v>7500</v>
      </c>
      <c r="K19" s="227">
        <v>201</v>
      </c>
      <c r="L19" s="239">
        <v>444</v>
      </c>
      <c r="M19" s="237">
        <v>0</v>
      </c>
      <c r="N19" s="227">
        <v>201</v>
      </c>
      <c r="O19" s="239">
        <v>404</v>
      </c>
      <c r="P19" s="249">
        <v>0</v>
      </c>
      <c r="Q19" s="227">
        <v>201</v>
      </c>
      <c r="R19" s="239">
        <v>404</v>
      </c>
      <c r="S19" s="249">
        <v>0</v>
      </c>
      <c r="T19" s="227">
        <v>201</v>
      </c>
      <c r="U19" s="239">
        <v>404</v>
      </c>
      <c r="V19" s="249">
        <v>1500</v>
      </c>
      <c r="W19" s="227">
        <f>201+238</f>
        <v>439</v>
      </c>
      <c r="X19" s="239">
        <f>404+(1500-238)</f>
        <v>1666</v>
      </c>
      <c r="Y19" s="249">
        <v>0</v>
      </c>
      <c r="Z19" s="227">
        <v>0</v>
      </c>
      <c r="AA19" s="239">
        <v>0</v>
      </c>
      <c r="AB19" s="249">
        <v>0</v>
      </c>
      <c r="AC19" s="227">
        <v>201</v>
      </c>
      <c r="AD19" s="239">
        <v>404</v>
      </c>
      <c r="AE19" s="249">
        <v>0</v>
      </c>
      <c r="AF19" s="227">
        <v>201</v>
      </c>
      <c r="AG19" s="239">
        <v>404</v>
      </c>
      <c r="AH19" s="249">
        <v>0</v>
      </c>
      <c r="AI19" s="227">
        <v>201</v>
      </c>
      <c r="AJ19" s="239">
        <v>404</v>
      </c>
      <c r="AK19" s="249">
        <v>0</v>
      </c>
      <c r="AL19" s="227">
        <v>201</v>
      </c>
      <c r="AM19" s="239">
        <v>404</v>
      </c>
      <c r="AN19" s="240" cm="1">
        <f t="array" ref="AN19">SUMPRODUCT((D$8:AK$8&lt;&gt;"Margin")*(D$8:AK$8&lt;&gt;"Salary_$600")*D19:AK19)</f>
        <v>9000</v>
      </c>
      <c r="AO19" s="240" cm="1">
        <f t="array" ref="AO19">SUMPRODUCT((D$8:AN$8="Margin")*D19:AN19)</f>
        <v>5826</v>
      </c>
      <c r="AP19" s="415" t="s">
        <v>109</v>
      </c>
      <c r="AQ19" s="242" t="s">
        <v>31</v>
      </c>
      <c r="AR19" s="369" t="s">
        <v>110</v>
      </c>
      <c r="AS19" s="498" t="s">
        <v>84</v>
      </c>
      <c r="AT19" s="157"/>
    </row>
    <row r="20" spans="1:63">
      <c r="A20" s="235" t="s">
        <v>111</v>
      </c>
      <c r="B20" s="235" t="s">
        <v>94</v>
      </c>
      <c r="C20" s="235" t="s">
        <v>95</v>
      </c>
      <c r="D20" s="248">
        <v>0</v>
      </c>
      <c r="F20" s="223">
        <v>30990</v>
      </c>
      <c r="G20" s="237">
        <v>64150</v>
      </c>
      <c r="I20" s="225">
        <v>30990</v>
      </c>
      <c r="J20" s="248">
        <v>64150</v>
      </c>
      <c r="K20" s="238">
        <v>33160</v>
      </c>
      <c r="L20" s="225">
        <v>30990</v>
      </c>
      <c r="M20" s="237">
        <v>64150</v>
      </c>
      <c r="N20" s="227">
        <v>34406</v>
      </c>
      <c r="O20" s="239">
        <v>29744</v>
      </c>
      <c r="P20" s="227">
        <v>64150</v>
      </c>
      <c r="Q20" s="227">
        <v>34406</v>
      </c>
      <c r="R20" s="239">
        <v>29744</v>
      </c>
      <c r="S20" s="227">
        <v>64150</v>
      </c>
      <c r="T20" s="227">
        <v>34406</v>
      </c>
      <c r="U20" s="239">
        <v>29744</v>
      </c>
      <c r="V20" s="227">
        <v>64150</v>
      </c>
      <c r="W20" s="227">
        <v>34406</v>
      </c>
      <c r="X20" s="239">
        <v>29744</v>
      </c>
      <c r="Y20" s="227">
        <v>64150</v>
      </c>
      <c r="Z20" s="227">
        <v>34406</v>
      </c>
      <c r="AA20" s="239">
        <v>29744</v>
      </c>
      <c r="AB20" s="119">
        <v>64150</v>
      </c>
      <c r="AC20" s="227">
        <v>34406</v>
      </c>
      <c r="AD20" s="239">
        <v>29744</v>
      </c>
      <c r="AE20" s="250">
        <v>57475</v>
      </c>
      <c r="AF20" s="227">
        <v>30406</v>
      </c>
      <c r="AG20" s="239">
        <f>AE20-AF20</f>
        <v>27069</v>
      </c>
      <c r="AH20" s="250">
        <v>57475</v>
      </c>
      <c r="AI20" s="227">
        <v>30406</v>
      </c>
      <c r="AJ20" s="239">
        <f>AH20-AI20</f>
        <v>27069</v>
      </c>
      <c r="AK20" s="250">
        <v>57475</v>
      </c>
      <c r="AL20" s="227">
        <v>30406</v>
      </c>
      <c r="AM20" s="239">
        <f>AK20-AL20</f>
        <v>27069</v>
      </c>
      <c r="AN20" s="240" cm="1">
        <f t="array" ref="AN20">SUMPRODUCT((D$8:AK$8&lt;&gt;"Margin")*(D$8:AK$8&lt;&gt;"Salary_$600")*D20:AK20)</f>
        <v>685625</v>
      </c>
      <c r="AO20" s="240" cm="1">
        <f t="array" ref="AO20">SUMPRODUCT((D$8:AN$8="Margin")*D20:AN20)</f>
        <v>352641</v>
      </c>
      <c r="AP20" s="415" t="s">
        <v>338</v>
      </c>
      <c r="AQ20" s="242" t="s">
        <v>31</v>
      </c>
      <c r="AR20" s="369" t="s">
        <v>52</v>
      </c>
      <c r="AS20" s="498" t="s">
        <v>84</v>
      </c>
      <c r="AT20" s="157"/>
    </row>
    <row r="21" spans="1:63">
      <c r="A21" s="235" t="s">
        <v>113</v>
      </c>
      <c r="B21" s="235" t="s">
        <v>94</v>
      </c>
      <c r="C21" s="235" t="s">
        <v>95</v>
      </c>
      <c r="D21" s="248">
        <v>5000</v>
      </c>
      <c r="F21" s="223">
        <v>1634</v>
      </c>
      <c r="G21" s="251">
        <v>5000</v>
      </c>
      <c r="I21" s="225">
        <v>1634</v>
      </c>
      <c r="J21" s="248">
        <v>5000</v>
      </c>
      <c r="K21" s="238">
        <v>3366</v>
      </c>
      <c r="L21" s="225">
        <v>1634</v>
      </c>
      <c r="M21" s="251">
        <v>5000</v>
      </c>
      <c r="N21" s="227">
        <v>3494</v>
      </c>
      <c r="O21" s="239">
        <v>1506</v>
      </c>
      <c r="P21" s="227">
        <v>5000</v>
      </c>
      <c r="Q21" s="227">
        <v>3494</v>
      </c>
      <c r="R21" s="239">
        <v>1506</v>
      </c>
      <c r="S21" s="227">
        <v>5000</v>
      </c>
      <c r="T21" s="227">
        <v>3494</v>
      </c>
      <c r="U21" s="239">
        <v>1506</v>
      </c>
      <c r="V21" s="227">
        <v>5000</v>
      </c>
      <c r="W21" s="227">
        <v>3494</v>
      </c>
      <c r="X21" s="239">
        <v>1506</v>
      </c>
      <c r="Y21" s="227">
        <v>5000</v>
      </c>
      <c r="Z21" s="227">
        <v>3494</v>
      </c>
      <c r="AA21" s="239">
        <v>1506</v>
      </c>
      <c r="AB21" s="227">
        <v>5000</v>
      </c>
      <c r="AC21" s="227">
        <v>3494</v>
      </c>
      <c r="AD21" s="239">
        <v>1506</v>
      </c>
      <c r="AE21" s="227">
        <v>5000</v>
      </c>
      <c r="AF21" s="227">
        <v>3494</v>
      </c>
      <c r="AG21" s="239">
        <v>1506</v>
      </c>
      <c r="AH21" s="227">
        <v>5000</v>
      </c>
      <c r="AI21" s="227">
        <v>3494</v>
      </c>
      <c r="AJ21" s="239">
        <v>1506</v>
      </c>
      <c r="AK21" s="227">
        <v>5000</v>
      </c>
      <c r="AL21" s="227">
        <v>3494</v>
      </c>
      <c r="AM21" s="239">
        <v>1506</v>
      </c>
      <c r="AN21" s="240" cm="1">
        <f t="array" ref="AN21">SUMPRODUCT((D$8:AK$8&lt;&gt;"Margin")*(D$8:AK$8&lt;&gt;"Salary_$600")*D21:AK21)</f>
        <v>60000</v>
      </c>
      <c r="AO21" s="240" cm="1">
        <f t="array" ref="AO21">SUMPRODUCT((D$8:AN$8="Margin")*D21:AN21)</f>
        <v>18456</v>
      </c>
      <c r="AP21" s="415" t="s">
        <v>339</v>
      </c>
      <c r="AQ21" s="242" t="s">
        <v>31</v>
      </c>
      <c r="AR21" s="369" t="s">
        <v>52</v>
      </c>
      <c r="AS21" s="498" t="s">
        <v>84</v>
      </c>
      <c r="AT21" s="157"/>
      <c r="BK21" s="207"/>
    </row>
    <row r="22" spans="1:63" ht="17.25" customHeight="1">
      <c r="A22" s="235" t="s">
        <v>115</v>
      </c>
      <c r="B22" s="235" t="s">
        <v>94</v>
      </c>
      <c r="C22" s="235" t="s">
        <v>95</v>
      </c>
      <c r="D22" s="248">
        <v>80350</v>
      </c>
      <c r="F22" s="223">
        <v>32238</v>
      </c>
      <c r="G22" s="251">
        <v>79225</v>
      </c>
      <c r="I22" s="225">
        <v>32238</v>
      </c>
      <c r="J22" s="248">
        <v>87457</v>
      </c>
      <c r="K22" s="238">
        <v>55219</v>
      </c>
      <c r="L22" s="225">
        <v>32238</v>
      </c>
      <c r="M22" s="251">
        <v>91957</v>
      </c>
      <c r="N22" s="227">
        <v>56148</v>
      </c>
      <c r="O22" s="239">
        <v>28702</v>
      </c>
      <c r="P22" s="227">
        <v>75850</v>
      </c>
      <c r="Q22" s="227">
        <v>51289</v>
      </c>
      <c r="R22" s="239">
        <v>24561</v>
      </c>
      <c r="S22" s="227">
        <v>75850</v>
      </c>
      <c r="T22" s="227">
        <v>51289</v>
      </c>
      <c r="U22" s="239">
        <v>24561</v>
      </c>
      <c r="V22" s="227">
        <v>75850</v>
      </c>
      <c r="W22" s="227">
        <v>51289</v>
      </c>
      <c r="X22" s="239">
        <v>24561</v>
      </c>
      <c r="Y22" s="227">
        <v>62279</v>
      </c>
      <c r="Z22" s="227">
        <v>51289</v>
      </c>
      <c r="AA22" s="239">
        <v>24561</v>
      </c>
      <c r="AB22" s="227">
        <v>60009</v>
      </c>
      <c r="AC22" s="227">
        <f>48999-12133/2-2096+4000/2+4000/4+10000/2</f>
        <v>48836.5</v>
      </c>
      <c r="AD22" s="239">
        <f>AB22-AC22</f>
        <v>11172.5</v>
      </c>
      <c r="AE22" s="227">
        <v>76779</v>
      </c>
      <c r="AF22" s="227">
        <f>48999 + 10000+4000+4100-2096-2363-3417</f>
        <v>59223</v>
      </c>
      <c r="AG22" s="239">
        <f>AE22-AF22</f>
        <v>17556</v>
      </c>
      <c r="AH22" s="227">
        <v>81850</v>
      </c>
      <c r="AI22" s="227">
        <f>48999 + 10000+4000+4100-2096-2363-3417</f>
        <v>59223</v>
      </c>
      <c r="AJ22" s="239">
        <f>AH22-AI22</f>
        <v>22627</v>
      </c>
      <c r="AK22" s="227">
        <v>81850</v>
      </c>
      <c r="AL22" s="227">
        <f>48999 + 10000+4000+4100-2096-2363-3417</f>
        <v>59223</v>
      </c>
      <c r="AM22" s="239">
        <f>AK22-AL22</f>
        <v>22627</v>
      </c>
      <c r="AN22" s="240" cm="1">
        <f t="array" ref="AN22">SUMPRODUCT((D$8:AK$8&lt;&gt;"Margin")*(D$8:AK$8&lt;&gt;"Salary_$600")*D22:AK22)</f>
        <v>929306</v>
      </c>
      <c r="AO22" s="240" cm="1">
        <f t="array" ref="AO22">SUMPRODUCT((D$8:AN$8="Margin")*D22:AN22)</f>
        <v>297642.5</v>
      </c>
      <c r="AP22" s="415" t="s">
        <v>340</v>
      </c>
      <c r="AQ22" s="242" t="s">
        <v>31</v>
      </c>
      <c r="AR22" s="369" t="s">
        <v>52</v>
      </c>
      <c r="AS22" s="498" t="s">
        <v>84</v>
      </c>
      <c r="AT22" s="157"/>
    </row>
    <row r="23" spans="1:63">
      <c r="A23" s="235" t="s">
        <v>116</v>
      </c>
      <c r="B23" s="235" t="s">
        <v>94</v>
      </c>
      <c r="C23" s="235" t="s">
        <v>95</v>
      </c>
      <c r="D23" s="236">
        <v>4500</v>
      </c>
      <c r="E23" s="227">
        <f>0.92*3713</f>
        <v>3415.96</v>
      </c>
      <c r="F23" s="239">
        <f>D23-E23</f>
        <v>1084.04</v>
      </c>
      <c r="G23" s="237">
        <v>4500</v>
      </c>
      <c r="H23" s="227">
        <f>0.92*3713</f>
        <v>3415.96</v>
      </c>
      <c r="I23" s="239">
        <f>G23-H23</f>
        <v>1084.04</v>
      </c>
      <c r="J23" s="236">
        <v>4500</v>
      </c>
      <c r="K23" s="227">
        <f>0.92*3713</f>
        <v>3415.96</v>
      </c>
      <c r="L23" s="239">
        <f>J23-K23</f>
        <v>1084.04</v>
      </c>
      <c r="M23" s="237">
        <v>4500</v>
      </c>
      <c r="N23" s="227">
        <v>3713</v>
      </c>
      <c r="O23" s="239">
        <f>M23-N23</f>
        <v>787</v>
      </c>
      <c r="P23" s="227">
        <v>4500</v>
      </c>
      <c r="Q23" s="227">
        <v>3713</v>
      </c>
      <c r="R23" s="239">
        <f>P23-Q23</f>
        <v>787</v>
      </c>
      <c r="S23" s="249">
        <v>4500</v>
      </c>
      <c r="T23" s="227">
        <v>3713</v>
      </c>
      <c r="U23" s="239">
        <f>S23-T23</f>
        <v>787</v>
      </c>
      <c r="V23" s="249">
        <v>4500</v>
      </c>
      <c r="W23" s="227">
        <v>3713</v>
      </c>
      <c r="X23" s="239">
        <f>V23-W23</f>
        <v>787</v>
      </c>
      <c r="Y23" s="249">
        <v>4500</v>
      </c>
      <c r="Z23" s="227">
        <v>3713</v>
      </c>
      <c r="AA23" s="239">
        <f>Y23-Z23</f>
        <v>787</v>
      </c>
      <c r="AB23" s="249">
        <v>4500</v>
      </c>
      <c r="AC23" s="227">
        <v>3713</v>
      </c>
      <c r="AD23" s="239">
        <f>AB23-AC23</f>
        <v>787</v>
      </c>
      <c r="AE23" s="249">
        <v>4500</v>
      </c>
      <c r="AF23" s="227">
        <v>3713</v>
      </c>
      <c r="AG23" s="239">
        <f>AE23-AF23</f>
        <v>787</v>
      </c>
      <c r="AH23" s="249">
        <v>4500</v>
      </c>
      <c r="AI23" s="227">
        <v>3713</v>
      </c>
      <c r="AJ23" s="239">
        <f>AH23-AI23</f>
        <v>787</v>
      </c>
      <c r="AK23" s="249">
        <v>4500</v>
      </c>
      <c r="AL23" s="227">
        <v>3713</v>
      </c>
      <c r="AM23" s="239">
        <f>AK23-AL23</f>
        <v>787</v>
      </c>
      <c r="AN23" s="240" cm="1">
        <f t="array" ref="AN23">SUMPRODUCT((D$8:AK$8&lt;&gt;"Margin")*(D$8:AK$8&lt;&gt;"Salary_$600")*D23:AK23)</f>
        <v>54000</v>
      </c>
      <c r="AO23" s="240" cm="1">
        <f t="array" ref="AO23">SUMPRODUCT((D$8:AN$8="Margin")*D23:AN23)</f>
        <v>10335.119999999999</v>
      </c>
      <c r="AP23" s="415" t="s">
        <v>339</v>
      </c>
      <c r="AQ23" s="242" t="s">
        <v>31</v>
      </c>
      <c r="AR23" s="369" t="s">
        <v>52</v>
      </c>
      <c r="AS23" s="498" t="s">
        <v>84</v>
      </c>
      <c r="AT23" s="157"/>
    </row>
    <row r="24" spans="1:63">
      <c r="A24" s="235" t="s">
        <v>118</v>
      </c>
      <c r="B24" s="235" t="s">
        <v>94</v>
      </c>
      <c r="C24" s="235" t="s">
        <v>95</v>
      </c>
      <c r="D24" s="248">
        <v>4500</v>
      </c>
      <c r="F24" s="223">
        <v>1666</v>
      </c>
      <c r="G24" s="251">
        <v>4500</v>
      </c>
      <c r="I24" s="225">
        <v>1666</v>
      </c>
      <c r="J24" s="248">
        <v>4500</v>
      </c>
      <c r="K24" s="238">
        <v>2834</v>
      </c>
      <c r="L24" s="225">
        <v>1666</v>
      </c>
      <c r="M24" s="251">
        <v>4500</v>
      </c>
      <c r="N24" s="227">
        <v>2834</v>
      </c>
      <c r="O24" s="239">
        <f>M24-N24</f>
        <v>1666</v>
      </c>
      <c r="P24" s="227">
        <f>3*4500</f>
        <v>13500</v>
      </c>
      <c r="Q24" s="227">
        <v>7693</v>
      </c>
      <c r="R24" s="239">
        <v>5807</v>
      </c>
      <c r="S24" s="227">
        <f>3*4500</f>
        <v>13500</v>
      </c>
      <c r="T24" s="227">
        <v>7693</v>
      </c>
      <c r="U24" s="239">
        <v>5807</v>
      </c>
      <c r="V24" s="227">
        <f>3*4500</f>
        <v>13500</v>
      </c>
      <c r="W24" s="227">
        <v>7693</v>
      </c>
      <c r="X24" s="239">
        <v>5807</v>
      </c>
      <c r="Y24" s="227">
        <f>3*4500</f>
        <v>13500</v>
      </c>
      <c r="Z24" s="227">
        <v>7693</v>
      </c>
      <c r="AA24" s="239">
        <v>5807</v>
      </c>
      <c r="AB24" s="227">
        <f>3*4500</f>
        <v>13500</v>
      </c>
      <c r="AC24" s="227">
        <v>7693</v>
      </c>
      <c r="AD24" s="239">
        <v>5807</v>
      </c>
      <c r="AE24" s="227">
        <f>3*4500</f>
        <v>13500</v>
      </c>
      <c r="AF24" s="227">
        <v>7693</v>
      </c>
      <c r="AG24" s="239">
        <v>5807</v>
      </c>
      <c r="AH24" s="227">
        <f>3*4500</f>
        <v>13500</v>
      </c>
      <c r="AI24" s="227">
        <v>7693</v>
      </c>
      <c r="AJ24" s="239">
        <v>5807</v>
      </c>
      <c r="AK24" s="227">
        <f>3*4500</f>
        <v>13500</v>
      </c>
      <c r="AL24" s="227">
        <v>7693</v>
      </c>
      <c r="AM24" s="239">
        <v>5807</v>
      </c>
      <c r="AN24" s="240" cm="1">
        <f t="array" ref="AN24">SUMPRODUCT((D$8:AK$8&lt;&gt;"Margin")*(D$8:AK$8&lt;&gt;"Salary_$600")*D24:AK24)</f>
        <v>126000</v>
      </c>
      <c r="AO24" s="240" cm="1">
        <f t="array" ref="AO24">SUMPRODUCT((D$8:AN$8="Margin")*D24:AN24)</f>
        <v>53120</v>
      </c>
      <c r="AP24" s="415" t="s">
        <v>339</v>
      </c>
      <c r="AQ24" s="242" t="s">
        <v>31</v>
      </c>
      <c r="AR24" s="369" t="s">
        <v>52</v>
      </c>
      <c r="AS24" s="498" t="s">
        <v>84</v>
      </c>
      <c r="AT24" s="157"/>
    </row>
    <row r="25" spans="1:63">
      <c r="A25" s="235" t="s">
        <v>122</v>
      </c>
      <c r="B25" s="235" t="s">
        <v>94</v>
      </c>
      <c r="C25" s="235" t="s">
        <v>95</v>
      </c>
      <c r="D25" s="236">
        <v>39000</v>
      </c>
      <c r="F25" s="223">
        <v>23090</v>
      </c>
      <c r="G25" s="237">
        <v>39000</v>
      </c>
      <c r="I25" s="225">
        <v>23090</v>
      </c>
      <c r="J25" s="236">
        <v>39000</v>
      </c>
      <c r="K25" s="238">
        <v>15910</v>
      </c>
      <c r="L25" s="225">
        <v>23090</v>
      </c>
      <c r="M25" s="237">
        <v>39000</v>
      </c>
      <c r="N25" s="227">
        <v>16978</v>
      </c>
      <c r="O25" s="239">
        <v>22022</v>
      </c>
      <c r="P25" s="227">
        <v>39000</v>
      </c>
      <c r="Q25" s="227">
        <v>16978</v>
      </c>
      <c r="R25" s="239">
        <v>22022</v>
      </c>
      <c r="S25" s="227">
        <v>39000</v>
      </c>
      <c r="T25" s="227">
        <v>16978</v>
      </c>
      <c r="U25" s="239">
        <v>22022</v>
      </c>
      <c r="V25" s="227">
        <v>39000</v>
      </c>
      <c r="W25" s="227">
        <v>16978</v>
      </c>
      <c r="X25" s="239">
        <v>22022</v>
      </c>
      <c r="Y25" s="227">
        <v>39000</v>
      </c>
      <c r="Z25" s="227">
        <v>16978</v>
      </c>
      <c r="AA25" s="239">
        <v>22022</v>
      </c>
      <c r="AB25" s="227">
        <v>39000</v>
      </c>
      <c r="AC25" s="227">
        <v>16978</v>
      </c>
      <c r="AD25" s="239">
        <v>22022</v>
      </c>
      <c r="AE25" s="227">
        <v>39000</v>
      </c>
      <c r="AF25" s="227">
        <v>16978</v>
      </c>
      <c r="AG25" s="239">
        <v>22022</v>
      </c>
      <c r="AH25" s="227">
        <v>39000</v>
      </c>
      <c r="AI25" s="227">
        <v>16978</v>
      </c>
      <c r="AJ25" s="239">
        <v>22022</v>
      </c>
      <c r="AK25" s="227">
        <v>39000</v>
      </c>
      <c r="AL25" s="227">
        <v>16978</v>
      </c>
      <c r="AM25" s="239">
        <v>22022</v>
      </c>
      <c r="AN25" s="240" cm="1">
        <f t="array" ref="AN25">SUMPRODUCT((D$8:AK$8&lt;&gt;"Margin")*(D$8:AK$8&lt;&gt;"Salary_$600")*D25:AK25)</f>
        <v>468000</v>
      </c>
      <c r="AO25" s="240" cm="1">
        <f t="array" ref="AO25">SUMPRODUCT((D$8:AN$8="Margin")*D25:AN25)</f>
        <v>267468</v>
      </c>
      <c r="AP25" s="415" t="s">
        <v>123</v>
      </c>
      <c r="AQ25" s="242" t="s">
        <v>31</v>
      </c>
      <c r="AR25" s="369" t="s">
        <v>124</v>
      </c>
      <c r="AS25" s="498" t="s">
        <v>84</v>
      </c>
      <c r="AT25" s="157"/>
    </row>
    <row r="26" spans="1:63">
      <c r="A26" s="235" t="s">
        <v>129</v>
      </c>
      <c r="B26" s="235" t="s">
        <v>94</v>
      </c>
      <c r="C26" s="235" t="s">
        <v>95</v>
      </c>
      <c r="D26" s="236">
        <v>0</v>
      </c>
      <c r="F26" s="223">
        <v>1482</v>
      </c>
      <c r="G26" s="237">
        <v>0</v>
      </c>
      <c r="I26" s="225">
        <v>1482</v>
      </c>
      <c r="J26" s="236">
        <v>12150</v>
      </c>
      <c r="K26" s="238">
        <v>2543</v>
      </c>
      <c r="L26" s="225">
        <v>1482</v>
      </c>
      <c r="M26" s="237">
        <v>13000</v>
      </c>
      <c r="N26" s="227">
        <v>2543</v>
      </c>
      <c r="O26" s="239">
        <v>1767</v>
      </c>
      <c r="P26" s="227">
        <v>0</v>
      </c>
      <c r="Q26" s="227">
        <v>2543</v>
      </c>
      <c r="R26" s="239">
        <v>1767</v>
      </c>
      <c r="S26" s="227">
        <v>0</v>
      </c>
      <c r="T26" s="227">
        <v>2543</v>
      </c>
      <c r="U26" s="239">
        <v>1767</v>
      </c>
      <c r="V26" s="227">
        <v>0</v>
      </c>
      <c r="W26" s="227">
        <v>2543</v>
      </c>
      <c r="X26" s="239">
        <v>1767</v>
      </c>
      <c r="Y26" s="227">
        <v>0</v>
      </c>
      <c r="Z26" s="227">
        <v>2543</v>
      </c>
      <c r="AA26" s="239">
        <v>1767</v>
      </c>
      <c r="AB26" s="227">
        <v>12860</v>
      </c>
      <c r="AC26" s="227">
        <v>2543</v>
      </c>
      <c r="AD26" s="239">
        <v>1767</v>
      </c>
      <c r="AE26" s="250">
        <v>13000</v>
      </c>
      <c r="AF26" s="227">
        <v>2543</v>
      </c>
      <c r="AG26" s="239">
        <v>1767</v>
      </c>
      <c r="AH26" s="250">
        <v>0</v>
      </c>
      <c r="AI26" s="250">
        <v>2543</v>
      </c>
      <c r="AJ26" s="239">
        <v>1767</v>
      </c>
      <c r="AK26" s="250">
        <v>0</v>
      </c>
      <c r="AL26" s="250">
        <v>2543</v>
      </c>
      <c r="AM26" s="239">
        <v>1767</v>
      </c>
      <c r="AN26" s="240" cm="1">
        <f t="array" ref="AN26">SUMPRODUCT((D$8:AK$8&lt;&gt;"Margin")*(D$8:AK$8&lt;&gt;"Salary_$600")*D26:AK26)</f>
        <v>51010</v>
      </c>
      <c r="AO26" s="240" cm="1">
        <f t="array" ref="AO26">SUMPRODUCT((D$8:AN$8="Margin")*D26:AN26)</f>
        <v>20349</v>
      </c>
      <c r="AP26" s="415" t="s">
        <v>133</v>
      </c>
      <c r="AQ26" s="242" t="s">
        <v>31</v>
      </c>
      <c r="AR26" s="369" t="s">
        <v>131</v>
      </c>
      <c r="AS26" s="498" t="s">
        <v>84</v>
      </c>
      <c r="AT26" s="157"/>
    </row>
    <row r="27" spans="1:63" s="243" customFormat="1" ht="15">
      <c r="A27" s="220" t="s">
        <v>341</v>
      </c>
      <c r="B27" s="221" t="s">
        <v>94</v>
      </c>
      <c r="C27" s="221" t="s">
        <v>101</v>
      </c>
      <c r="D27" s="222">
        <v>0</v>
      </c>
      <c r="E27" s="225">
        <v>7737</v>
      </c>
      <c r="F27" s="223">
        <v>5614</v>
      </c>
      <c r="G27" s="224">
        <v>36625</v>
      </c>
      <c r="H27" s="225">
        <v>7737</v>
      </c>
      <c r="I27" s="225">
        <v>5614</v>
      </c>
      <c r="J27" s="222">
        <v>0</v>
      </c>
      <c r="K27" s="226">
        <v>0</v>
      </c>
      <c r="L27" s="223">
        <v>0</v>
      </c>
      <c r="M27" s="224">
        <v>0</v>
      </c>
      <c r="N27" s="227"/>
      <c r="O27" s="228"/>
      <c r="P27" s="229">
        <v>0</v>
      </c>
      <c r="Q27" s="227"/>
      <c r="R27" s="228"/>
      <c r="S27" s="229">
        <v>0</v>
      </c>
      <c r="T27" s="227"/>
      <c r="U27" s="228"/>
      <c r="V27" s="229">
        <v>0</v>
      </c>
      <c r="W27" s="227"/>
      <c r="X27" s="228"/>
      <c r="Y27" s="229">
        <v>0</v>
      </c>
      <c r="Z27" s="227"/>
      <c r="AA27" s="228"/>
      <c r="AB27" s="229">
        <v>0</v>
      </c>
      <c r="AC27" s="227">
        <v>0</v>
      </c>
      <c r="AD27" s="228">
        <v>0</v>
      </c>
      <c r="AE27" s="229">
        <v>0</v>
      </c>
      <c r="AF27" s="227">
        <v>0</v>
      </c>
      <c r="AG27" s="228">
        <v>0</v>
      </c>
      <c r="AH27" s="229">
        <v>0</v>
      </c>
      <c r="AI27" s="227">
        <v>0</v>
      </c>
      <c r="AJ27" s="228">
        <v>0</v>
      </c>
      <c r="AK27" s="229">
        <v>0</v>
      </c>
      <c r="AL27" s="227">
        <v>0</v>
      </c>
      <c r="AM27" s="228">
        <v>0</v>
      </c>
      <c r="AN27" s="230" cm="1">
        <f t="array" ref="AN27">SUMPRODUCT((D$8:AK$8&lt;&gt;"Margin")*(D$8:AK$8&lt;&gt;"Salary_$600")*D27:AK27)</f>
        <v>36625</v>
      </c>
      <c r="AO27" s="240" cm="1">
        <f t="array" ref="AO27">SUMPRODUCT((D$8:AN$8="Margin")*D27:AN27)</f>
        <v>11228</v>
      </c>
      <c r="AP27" s="415" t="s">
        <v>342</v>
      </c>
      <c r="AQ27" s="231"/>
      <c r="AR27" s="369" t="s">
        <v>131</v>
      </c>
      <c r="AS27" s="498" t="s">
        <v>84</v>
      </c>
      <c r="AT27" s="366"/>
      <c r="AU27" s="232"/>
      <c r="AV27" s="232"/>
      <c r="AW27" s="232"/>
      <c r="AX27" s="232"/>
      <c r="AY27" s="232"/>
      <c r="AZ27" s="232"/>
      <c r="BA27" s="232"/>
      <c r="BB27" s="232"/>
      <c r="BC27" s="232"/>
      <c r="BD27" s="232"/>
      <c r="BE27" s="232"/>
      <c r="BF27" s="232"/>
      <c r="BG27" s="232"/>
      <c r="BH27" s="232"/>
      <c r="BI27" s="232"/>
      <c r="BJ27" s="232"/>
      <c r="BK27" s="233"/>
    </row>
    <row r="28" spans="1:63">
      <c r="A28" s="235" t="s">
        <v>132</v>
      </c>
      <c r="B28" s="235" t="s">
        <v>94</v>
      </c>
      <c r="C28" s="235" t="s">
        <v>95</v>
      </c>
      <c r="D28" s="236">
        <v>0</v>
      </c>
      <c r="F28" s="223">
        <v>1624</v>
      </c>
      <c r="G28" s="237">
        <v>0</v>
      </c>
      <c r="I28" s="225">
        <v>1624</v>
      </c>
      <c r="J28" s="236">
        <v>17500</v>
      </c>
      <c r="K28" s="238">
        <v>4126</v>
      </c>
      <c r="L28" s="225">
        <v>1624</v>
      </c>
      <c r="M28" s="237">
        <v>18000</v>
      </c>
      <c r="N28" s="227">
        <v>4478</v>
      </c>
      <c r="O28" s="239">
        <v>1672</v>
      </c>
      <c r="P28" s="227">
        <v>0</v>
      </c>
      <c r="Q28" s="227">
        <v>4478</v>
      </c>
      <c r="R28" s="239">
        <v>1672</v>
      </c>
      <c r="S28" s="227">
        <v>0</v>
      </c>
      <c r="T28" s="227">
        <v>4478</v>
      </c>
      <c r="U28" s="239">
        <v>1672</v>
      </c>
      <c r="V28" s="227">
        <v>0</v>
      </c>
      <c r="W28" s="227">
        <v>4478</v>
      </c>
      <c r="X28" s="239">
        <v>1672</v>
      </c>
      <c r="Y28" s="227">
        <v>0</v>
      </c>
      <c r="Z28" s="227">
        <v>4478</v>
      </c>
      <c r="AA28" s="239">
        <v>1672</v>
      </c>
      <c r="AB28" s="227">
        <v>18900</v>
      </c>
      <c r="AC28" s="227">
        <v>4478</v>
      </c>
      <c r="AD28" s="239">
        <v>1672</v>
      </c>
      <c r="AE28" s="250">
        <v>18000</v>
      </c>
      <c r="AF28" s="227">
        <v>4478</v>
      </c>
      <c r="AG28" s="239">
        <v>1672</v>
      </c>
      <c r="AH28" s="250">
        <v>0</v>
      </c>
      <c r="AI28" s="227">
        <v>4478</v>
      </c>
      <c r="AJ28" s="239">
        <v>1672</v>
      </c>
      <c r="AK28" s="250">
        <v>0</v>
      </c>
      <c r="AL28" s="227">
        <v>4478</v>
      </c>
      <c r="AM28" s="239">
        <v>1672</v>
      </c>
      <c r="AN28" s="240" cm="1">
        <f t="array" ref="AN28">SUMPRODUCT((D$8:AK$8&lt;&gt;"Margin")*(D$8:AK$8&lt;&gt;"Salary_$600")*D28:AK28)</f>
        <v>72400</v>
      </c>
      <c r="AO28" s="240" cm="1">
        <f t="array" ref="AO28">SUMPRODUCT((D$8:AN$8="Margin")*D28:AN28)</f>
        <v>19920</v>
      </c>
      <c r="AP28" s="415" t="s">
        <v>133</v>
      </c>
      <c r="AQ28" s="242" t="s">
        <v>31</v>
      </c>
      <c r="AR28" s="369" t="s">
        <v>131</v>
      </c>
      <c r="AS28" s="498" t="s">
        <v>84</v>
      </c>
      <c r="AT28" s="157"/>
    </row>
    <row r="29" spans="1:63">
      <c r="A29" s="235" t="s">
        <v>134</v>
      </c>
      <c r="B29" s="235" t="s">
        <v>94</v>
      </c>
      <c r="C29" s="235" t="s">
        <v>95</v>
      </c>
      <c r="D29" s="236">
        <v>0</v>
      </c>
      <c r="F29" s="223">
        <v>2517</v>
      </c>
      <c r="G29" s="237">
        <v>0</v>
      </c>
      <c r="I29" s="225">
        <v>2517</v>
      </c>
      <c r="J29" s="236">
        <v>15360</v>
      </c>
      <c r="K29" s="238">
        <v>2543</v>
      </c>
      <c r="L29" s="225">
        <v>2517</v>
      </c>
      <c r="M29" s="237">
        <v>16000</v>
      </c>
      <c r="N29" s="227">
        <v>2543</v>
      </c>
      <c r="O29" s="239">
        <v>2872</v>
      </c>
      <c r="P29" s="227">
        <v>0</v>
      </c>
      <c r="Q29" s="227">
        <v>2543</v>
      </c>
      <c r="R29" s="239">
        <v>2872</v>
      </c>
      <c r="S29" s="227">
        <v>0</v>
      </c>
      <c r="T29" s="227">
        <v>2543</v>
      </c>
      <c r="U29" s="239">
        <v>2872</v>
      </c>
      <c r="V29" s="227">
        <v>0</v>
      </c>
      <c r="W29" s="227">
        <v>2543</v>
      </c>
      <c r="X29" s="239">
        <v>2872</v>
      </c>
      <c r="Y29" s="227">
        <v>0</v>
      </c>
      <c r="Z29" s="227">
        <v>2543</v>
      </c>
      <c r="AA29" s="239">
        <v>2872</v>
      </c>
      <c r="AB29" s="227">
        <v>16490</v>
      </c>
      <c r="AC29" s="227">
        <v>2543</v>
      </c>
      <c r="AD29" s="239">
        <v>2872</v>
      </c>
      <c r="AE29" s="250">
        <v>16000</v>
      </c>
      <c r="AF29" s="227">
        <v>2543</v>
      </c>
      <c r="AG29" s="239">
        <v>2872</v>
      </c>
      <c r="AH29" s="250">
        <v>0</v>
      </c>
      <c r="AI29" s="227">
        <v>2543</v>
      </c>
      <c r="AJ29" s="239">
        <v>2872</v>
      </c>
      <c r="AK29" s="250">
        <v>0</v>
      </c>
      <c r="AL29" s="227">
        <v>2543</v>
      </c>
      <c r="AM29" s="239">
        <v>2872</v>
      </c>
      <c r="AN29" s="240" cm="1">
        <f t="array" ref="AN29">SUMPRODUCT((D$8:AK$8&lt;&gt;"Margin")*(D$8:AK$8&lt;&gt;"Salary_$600")*D29:AK29)</f>
        <v>63850</v>
      </c>
      <c r="AO29" s="240" cm="1">
        <f t="array" ref="AO29">SUMPRODUCT((D$8:AN$8="Margin")*D29:AN29)</f>
        <v>33399</v>
      </c>
      <c r="AP29" s="415" t="s">
        <v>133</v>
      </c>
      <c r="AQ29" s="242" t="s">
        <v>31</v>
      </c>
      <c r="AR29" s="369" t="s">
        <v>131</v>
      </c>
      <c r="AS29" s="498" t="s">
        <v>84</v>
      </c>
      <c r="AT29" s="157"/>
    </row>
    <row r="30" spans="1:63" s="243" customFormat="1" ht="15">
      <c r="A30" s="220" t="s">
        <v>343</v>
      </c>
      <c r="B30" s="221" t="s">
        <v>94</v>
      </c>
      <c r="C30" s="221" t="s">
        <v>101</v>
      </c>
      <c r="D30" s="222">
        <v>0</v>
      </c>
      <c r="E30" s="168"/>
      <c r="F30" s="223">
        <v>8000</v>
      </c>
      <c r="G30" s="224">
        <v>0</v>
      </c>
      <c r="H30" s="168"/>
      <c r="I30" s="225">
        <v>8000</v>
      </c>
      <c r="J30" s="222">
        <v>20000</v>
      </c>
      <c r="K30" s="226">
        <v>12000</v>
      </c>
      <c r="L30" s="223">
        <v>8000</v>
      </c>
      <c r="M30" s="224">
        <v>0</v>
      </c>
      <c r="N30" s="227"/>
      <c r="O30" s="228"/>
      <c r="P30" s="229">
        <v>0</v>
      </c>
      <c r="Q30" s="227"/>
      <c r="R30" s="228"/>
      <c r="S30" s="229">
        <v>0</v>
      </c>
      <c r="T30" s="227"/>
      <c r="U30" s="228"/>
      <c r="V30" s="229">
        <v>0</v>
      </c>
      <c r="W30" s="227"/>
      <c r="X30" s="228"/>
      <c r="Y30" s="229">
        <v>0</v>
      </c>
      <c r="Z30" s="227"/>
      <c r="AA30" s="228"/>
      <c r="AB30" s="229">
        <v>0</v>
      </c>
      <c r="AC30" s="227">
        <v>0</v>
      </c>
      <c r="AD30" s="228">
        <v>0</v>
      </c>
      <c r="AE30" s="229">
        <v>0</v>
      </c>
      <c r="AF30" s="229">
        <v>0</v>
      </c>
      <c r="AG30" s="229">
        <v>0</v>
      </c>
      <c r="AH30" s="229">
        <v>0</v>
      </c>
      <c r="AI30" s="229">
        <v>0</v>
      </c>
      <c r="AJ30" s="229">
        <v>0</v>
      </c>
      <c r="AK30" s="229">
        <v>0</v>
      </c>
      <c r="AL30" s="229">
        <v>0</v>
      </c>
      <c r="AM30" s="229">
        <v>0</v>
      </c>
      <c r="AN30" s="230" cm="1">
        <f t="array" ref="AN30">SUMPRODUCT((D$8:AK$8&lt;&gt;"Margin")*(D$8:AK$8&lt;&gt;"Salary_$600")*D30:AK30)</f>
        <v>20000</v>
      </c>
      <c r="AO30" s="230" cm="1">
        <f t="array" ref="AO30">SUMPRODUCT((D$8:AN$8="Margin")*D30:AN30)</f>
        <v>24000</v>
      </c>
      <c r="AP30" s="415" t="s">
        <v>344</v>
      </c>
      <c r="AQ30" s="231"/>
      <c r="AR30" s="369" t="s">
        <v>131</v>
      </c>
      <c r="AS30" s="498" t="s">
        <v>84</v>
      </c>
      <c r="AT30" s="366"/>
      <c r="AU30" s="232"/>
      <c r="AV30" s="232"/>
      <c r="AW30" s="232"/>
      <c r="AX30" s="232"/>
      <c r="AY30" s="232"/>
      <c r="AZ30" s="232"/>
      <c r="BA30" s="232"/>
      <c r="BB30" s="232"/>
      <c r="BC30" s="232"/>
      <c r="BD30" s="232"/>
      <c r="BE30" s="232"/>
      <c r="BF30" s="232"/>
      <c r="BG30" s="232"/>
      <c r="BH30" s="232"/>
      <c r="BI30" s="232"/>
      <c r="BJ30" s="232"/>
      <c r="BK30" s="233"/>
    </row>
    <row r="31" spans="1:63" ht="15">
      <c r="A31" s="220" t="s">
        <v>345</v>
      </c>
      <c r="B31" s="221" t="s">
        <v>94</v>
      </c>
      <c r="C31" s="221" t="s">
        <v>101</v>
      </c>
      <c r="D31" s="222">
        <v>0</v>
      </c>
      <c r="F31" s="223">
        <v>0</v>
      </c>
      <c r="G31" s="224">
        <v>0</v>
      </c>
      <c r="I31" s="225">
        <v>0</v>
      </c>
      <c r="J31" s="222">
        <v>0</v>
      </c>
      <c r="K31" s="226">
        <v>0</v>
      </c>
      <c r="L31" s="223">
        <v>0</v>
      </c>
      <c r="M31" s="224">
        <v>4000</v>
      </c>
      <c r="N31" s="227">
        <v>1960</v>
      </c>
      <c r="O31" s="228">
        <v>874</v>
      </c>
      <c r="P31" s="229">
        <v>0</v>
      </c>
      <c r="Q31" s="227">
        <v>1960</v>
      </c>
      <c r="R31" s="228">
        <v>874</v>
      </c>
      <c r="S31" s="229">
        <v>4500</v>
      </c>
      <c r="T31" s="227">
        <v>1960</v>
      </c>
      <c r="U31" s="228">
        <v>874</v>
      </c>
      <c r="V31" s="229">
        <v>0</v>
      </c>
      <c r="W31" s="227">
        <v>0</v>
      </c>
      <c r="X31" s="228">
        <v>0</v>
      </c>
      <c r="Y31" s="229">
        <v>0</v>
      </c>
      <c r="Z31" s="227">
        <v>0</v>
      </c>
      <c r="AA31" s="228">
        <v>0</v>
      </c>
      <c r="AB31" s="229">
        <v>0</v>
      </c>
      <c r="AC31" s="227">
        <v>0</v>
      </c>
      <c r="AD31" s="228">
        <v>0</v>
      </c>
      <c r="AE31" s="229">
        <v>0</v>
      </c>
      <c r="AF31" s="229">
        <v>0</v>
      </c>
      <c r="AG31" s="229">
        <v>0</v>
      </c>
      <c r="AH31" s="229">
        <v>0</v>
      </c>
      <c r="AI31" s="229">
        <v>0</v>
      </c>
      <c r="AJ31" s="229">
        <v>0</v>
      </c>
      <c r="AK31" s="229">
        <v>0</v>
      </c>
      <c r="AL31" s="229">
        <v>0</v>
      </c>
      <c r="AM31" s="229">
        <v>0</v>
      </c>
      <c r="AN31" s="230" cm="1">
        <f t="array" ref="AN31">SUMPRODUCT((D$8:AK$8&lt;&gt;"Margin")*(D$8:AK$8&lt;&gt;"Salary_$600")*D31:AK31)</f>
        <v>8500</v>
      </c>
      <c r="AO31" s="230" cm="1">
        <f t="array" ref="AO31">SUMPRODUCT((D$8:AN$8="Margin")*D31:AN31)</f>
        <v>2622</v>
      </c>
      <c r="AP31" s="415" t="s">
        <v>344</v>
      </c>
      <c r="AQ31" s="231"/>
      <c r="AR31" s="369" t="s">
        <v>346</v>
      </c>
      <c r="AS31" s="498" t="s">
        <v>84</v>
      </c>
      <c r="AT31" s="366"/>
      <c r="AU31" s="232"/>
      <c r="AV31" s="232"/>
      <c r="AW31" s="232"/>
      <c r="AX31" s="232"/>
      <c r="AY31" s="232"/>
      <c r="AZ31" s="232"/>
      <c r="BA31" s="232"/>
      <c r="BB31" s="232"/>
      <c r="BC31" s="232"/>
      <c r="BD31" s="232"/>
      <c r="BE31" s="232"/>
      <c r="BF31" s="232"/>
      <c r="BG31" s="232"/>
      <c r="BH31" s="232"/>
      <c r="BI31" s="232"/>
      <c r="BJ31" s="232"/>
      <c r="BK31" s="233"/>
    </row>
    <row r="32" spans="1:63">
      <c r="A32" s="235" t="s">
        <v>347</v>
      </c>
      <c r="B32" s="235" t="s">
        <v>94</v>
      </c>
      <c r="C32" s="235" t="s">
        <v>101</v>
      </c>
      <c r="D32" s="236">
        <v>0</v>
      </c>
      <c r="F32" s="223">
        <v>5352</v>
      </c>
      <c r="G32" s="237">
        <v>0</v>
      </c>
      <c r="I32" s="225">
        <v>5352</v>
      </c>
      <c r="J32" s="236">
        <v>116474</v>
      </c>
      <c r="K32" s="238">
        <v>11843</v>
      </c>
      <c r="L32" s="225">
        <v>5352</v>
      </c>
      <c r="M32" s="237">
        <v>0</v>
      </c>
      <c r="N32" s="227">
        <v>14226</v>
      </c>
      <c r="O32" s="239">
        <v>-2845</v>
      </c>
      <c r="P32" s="119">
        <v>0</v>
      </c>
      <c r="Q32" s="227">
        <v>11504</v>
      </c>
      <c r="R32" s="239">
        <v>-123</v>
      </c>
      <c r="S32" s="119">
        <v>0</v>
      </c>
      <c r="T32" s="227">
        <v>11504</v>
      </c>
      <c r="U32" s="239">
        <v>-123</v>
      </c>
      <c r="V32" s="119">
        <v>0</v>
      </c>
      <c r="W32" s="227">
        <v>11504</v>
      </c>
      <c r="X32" s="239">
        <v>-123</v>
      </c>
      <c r="Y32" s="119">
        <v>0</v>
      </c>
      <c r="Z32" s="227">
        <v>11504</v>
      </c>
      <c r="AA32" s="239">
        <v>-123</v>
      </c>
      <c r="AB32" s="119">
        <v>37856</v>
      </c>
      <c r="AC32" s="227">
        <v>11504</v>
      </c>
      <c r="AD32" s="239">
        <v>-123</v>
      </c>
      <c r="AE32" s="119">
        <v>0</v>
      </c>
      <c r="AF32" s="119"/>
      <c r="AG32" s="119"/>
      <c r="AH32" s="119">
        <v>0</v>
      </c>
      <c r="AI32" s="119"/>
      <c r="AJ32" s="119"/>
      <c r="AK32" s="119">
        <v>0</v>
      </c>
      <c r="AL32" s="119"/>
      <c r="AM32" s="119"/>
      <c r="AN32" s="240" cm="1">
        <f t="array" ref="AN32">SUMPRODUCT((D$8:AK$8&lt;&gt;"Margin")*(D$8:AK$8&lt;&gt;"Salary_$600")*D32:AK32)</f>
        <v>154330</v>
      </c>
      <c r="AO32" s="240" cm="1">
        <f t="array" ref="AO32">SUMPRODUCT((D$8:AN$8="Margin")*D32:AN32)</f>
        <v>12596</v>
      </c>
      <c r="AP32" s="415" t="s">
        <v>348</v>
      </c>
      <c r="AQ32" s="242" t="s">
        <v>31</v>
      </c>
      <c r="AR32" s="369" t="s">
        <v>125</v>
      </c>
      <c r="AS32" s="498" t="s">
        <v>84</v>
      </c>
      <c r="AT32" s="157"/>
    </row>
    <row r="33" spans="1:63" s="243" customFormat="1" ht="15">
      <c r="A33" s="220" t="s">
        <v>349</v>
      </c>
      <c r="B33" s="221" t="s">
        <v>94</v>
      </c>
      <c r="C33" s="221" t="s">
        <v>101</v>
      </c>
      <c r="D33" s="222">
        <v>0</v>
      </c>
      <c r="E33" s="168"/>
      <c r="F33" s="223">
        <v>468</v>
      </c>
      <c r="G33" s="224">
        <v>0</v>
      </c>
      <c r="H33" s="168"/>
      <c r="I33" s="225">
        <v>468</v>
      </c>
      <c r="J33" s="222">
        <v>468</v>
      </c>
      <c r="K33" s="226">
        <v>0</v>
      </c>
      <c r="L33" s="223">
        <v>468</v>
      </c>
      <c r="M33" s="224">
        <v>0</v>
      </c>
      <c r="N33" s="227"/>
      <c r="O33" s="228"/>
      <c r="P33" s="229">
        <v>0</v>
      </c>
      <c r="Q33" s="227"/>
      <c r="R33" s="228"/>
      <c r="S33" s="229">
        <v>0</v>
      </c>
      <c r="T33" s="227"/>
      <c r="U33" s="228"/>
      <c r="V33" s="229">
        <v>0</v>
      </c>
      <c r="W33" s="227"/>
      <c r="X33" s="228"/>
      <c r="Y33" s="229">
        <v>0</v>
      </c>
      <c r="Z33" s="227"/>
      <c r="AA33" s="228"/>
      <c r="AB33" s="229">
        <v>0</v>
      </c>
      <c r="AC33" s="227">
        <v>0</v>
      </c>
      <c r="AD33" s="228">
        <v>0</v>
      </c>
      <c r="AE33" s="229">
        <v>0</v>
      </c>
      <c r="AF33" s="229">
        <v>0</v>
      </c>
      <c r="AG33" s="229">
        <v>0</v>
      </c>
      <c r="AH33" s="229">
        <v>0</v>
      </c>
      <c r="AI33" s="229">
        <v>0</v>
      </c>
      <c r="AJ33" s="229">
        <v>0</v>
      </c>
      <c r="AK33" s="229">
        <v>0</v>
      </c>
      <c r="AL33" s="229">
        <v>0</v>
      </c>
      <c r="AM33" s="229">
        <v>0</v>
      </c>
      <c r="AN33" s="230" cm="1">
        <f t="array" ref="AN33">SUMPRODUCT((D$8:AK$8&lt;&gt;"Margin")*(D$8:AK$8&lt;&gt;"Salary_$600")*D33:AK33)</f>
        <v>468</v>
      </c>
      <c r="AO33" s="230" cm="1">
        <f t="array" ref="AO33">SUMPRODUCT((D$8:AN$8="Margin")*D33:AN33)</f>
        <v>1404</v>
      </c>
      <c r="AP33" s="415" t="s">
        <v>344</v>
      </c>
      <c r="AQ33" s="231"/>
      <c r="AR33" s="369" t="s">
        <v>350</v>
      </c>
      <c r="AS33" s="498" t="s">
        <v>84</v>
      </c>
      <c r="AT33" s="366"/>
      <c r="AU33" s="232"/>
      <c r="AV33" s="232"/>
      <c r="AW33" s="232"/>
      <c r="AX33" s="232"/>
      <c r="AY33" s="232"/>
      <c r="AZ33" s="232"/>
      <c r="BA33" s="232"/>
      <c r="BB33" s="232"/>
      <c r="BC33" s="232"/>
      <c r="BD33" s="232"/>
      <c r="BE33" s="232"/>
      <c r="BF33" s="232"/>
      <c r="BG33" s="232"/>
      <c r="BH33" s="232"/>
      <c r="BI33" s="232"/>
      <c r="BJ33" s="232"/>
      <c r="BK33" s="233"/>
    </row>
    <row r="34" spans="1:63">
      <c r="A34" s="235" t="s">
        <v>140</v>
      </c>
      <c r="B34" s="235" t="s">
        <v>94</v>
      </c>
      <c r="C34" s="235" t="s">
        <v>95</v>
      </c>
      <c r="D34" s="236">
        <v>4000</v>
      </c>
      <c r="F34" s="223">
        <v>1244</v>
      </c>
      <c r="G34" s="237">
        <v>4000</v>
      </c>
      <c r="I34" s="225">
        <v>1244</v>
      </c>
      <c r="J34" s="236">
        <v>4000</v>
      </c>
      <c r="K34" s="238">
        <v>2756</v>
      </c>
      <c r="L34" s="225">
        <v>1244</v>
      </c>
      <c r="M34" s="237">
        <v>4000</v>
      </c>
      <c r="N34" s="227">
        <v>3015</v>
      </c>
      <c r="O34" s="239">
        <v>985</v>
      </c>
      <c r="P34" s="227">
        <v>4000</v>
      </c>
      <c r="Q34" s="227">
        <v>3015</v>
      </c>
      <c r="R34" s="239">
        <v>985</v>
      </c>
      <c r="S34" s="227">
        <v>4000</v>
      </c>
      <c r="T34" s="227">
        <v>3015</v>
      </c>
      <c r="U34" s="239">
        <v>985</v>
      </c>
      <c r="V34" s="227">
        <v>4000</v>
      </c>
      <c r="W34" s="227">
        <v>3015</v>
      </c>
      <c r="X34" s="239">
        <v>985</v>
      </c>
      <c r="Y34" s="227">
        <v>4000</v>
      </c>
      <c r="Z34" s="227">
        <v>3015</v>
      </c>
      <c r="AA34" s="239">
        <v>985</v>
      </c>
      <c r="AB34" s="227">
        <v>4000</v>
      </c>
      <c r="AC34" s="227">
        <v>3015</v>
      </c>
      <c r="AD34" s="239">
        <v>985</v>
      </c>
      <c r="AE34" s="227">
        <v>4000</v>
      </c>
      <c r="AF34" s="227">
        <v>3015</v>
      </c>
      <c r="AG34" s="239">
        <v>985</v>
      </c>
      <c r="AH34" s="227">
        <v>4000</v>
      </c>
      <c r="AI34" s="227">
        <v>3015</v>
      </c>
      <c r="AJ34" s="239">
        <v>985</v>
      </c>
      <c r="AK34" s="227">
        <v>5250</v>
      </c>
      <c r="AL34" s="227">
        <v>3015</v>
      </c>
      <c r="AM34" s="239">
        <v>985</v>
      </c>
      <c r="AN34" s="240" cm="1">
        <f t="array" ref="AN34">SUMPRODUCT((D$8:AK$8&lt;&gt;"Margin")*(D$8:AK$8&lt;&gt;"Salary_$600")*D34:AK34)</f>
        <v>49250</v>
      </c>
      <c r="AO34" s="240" cm="1">
        <f t="array" ref="AO34">SUMPRODUCT((D$8:AN$8="Margin")*D34:AN34)</f>
        <v>12597</v>
      </c>
      <c r="AP34" s="415" t="s">
        <v>123</v>
      </c>
      <c r="AQ34" s="242" t="s">
        <v>31</v>
      </c>
      <c r="AR34" s="369" t="s">
        <v>141</v>
      </c>
      <c r="AS34" s="498" t="s">
        <v>84</v>
      </c>
      <c r="AT34" s="157"/>
    </row>
    <row r="35" spans="1:63">
      <c r="A35" s="235" t="s">
        <v>351</v>
      </c>
      <c r="B35" s="235" t="s">
        <v>94</v>
      </c>
      <c r="C35" s="235" t="s">
        <v>101</v>
      </c>
      <c r="D35" s="236">
        <v>0</v>
      </c>
      <c r="F35" s="223">
        <v>0</v>
      </c>
      <c r="G35" s="237">
        <v>0</v>
      </c>
      <c r="I35" s="225">
        <v>0</v>
      </c>
      <c r="J35" s="236">
        <v>0</v>
      </c>
      <c r="K35" s="238">
        <v>0</v>
      </c>
      <c r="L35" s="225">
        <v>0</v>
      </c>
      <c r="M35" s="237">
        <v>0</v>
      </c>
      <c r="N35" s="227">
        <v>0</v>
      </c>
      <c r="O35" s="239">
        <v>0</v>
      </c>
      <c r="P35" s="227">
        <v>0</v>
      </c>
      <c r="Q35" s="227">
        <v>8634</v>
      </c>
      <c r="R35" s="239">
        <v>12794</v>
      </c>
      <c r="S35" s="227">
        <v>0</v>
      </c>
      <c r="T35" s="227">
        <v>8634</v>
      </c>
      <c r="U35" s="239">
        <v>12794</v>
      </c>
      <c r="V35" s="227">
        <v>45000</v>
      </c>
      <c r="W35" s="227">
        <v>8634</v>
      </c>
      <c r="X35" s="239">
        <v>12794</v>
      </c>
      <c r="Y35" s="227">
        <v>0</v>
      </c>
      <c r="Z35" s="227">
        <v>8634</v>
      </c>
      <c r="AA35" s="239">
        <v>12794</v>
      </c>
      <c r="AB35" s="227">
        <v>50000</v>
      </c>
      <c r="AC35" s="227">
        <v>8634</v>
      </c>
      <c r="AD35" s="239">
        <v>12794</v>
      </c>
      <c r="AE35" s="227">
        <v>30000</v>
      </c>
      <c r="AF35" s="227">
        <v>8634</v>
      </c>
      <c r="AG35" s="239">
        <v>12794</v>
      </c>
      <c r="AH35" s="227">
        <v>0</v>
      </c>
      <c r="AI35" s="227">
        <v>8634</v>
      </c>
      <c r="AJ35" s="239">
        <v>12794</v>
      </c>
      <c r="AK35" s="227">
        <v>25000</v>
      </c>
      <c r="AL35" s="227">
        <v>8634</v>
      </c>
      <c r="AM35" s="239">
        <v>12794</v>
      </c>
      <c r="AN35" s="240" cm="1">
        <f t="array" ref="AN35">SUMPRODUCT((D$8:AK$8&lt;&gt;"Margin")*(D$8:AK$8&lt;&gt;"Salary_$600")*D35:AK35)</f>
        <v>150000</v>
      </c>
      <c r="AO35" s="240" cm="1">
        <f t="array" ref="AO35">SUMPRODUCT((D$8:AN$8="Margin")*D35:AN35)</f>
        <v>102352</v>
      </c>
      <c r="AP35" s="415" t="s">
        <v>352</v>
      </c>
      <c r="AQ35" s="242"/>
      <c r="AR35" s="369" t="s">
        <v>131</v>
      </c>
      <c r="AS35" s="498" t="s">
        <v>84</v>
      </c>
      <c r="AT35" s="157"/>
    </row>
    <row r="36" spans="1:63" ht="15">
      <c r="A36" s="220" t="s">
        <v>353</v>
      </c>
      <c r="B36" s="221" t="s">
        <v>94</v>
      </c>
      <c r="C36" s="221" t="s">
        <v>101</v>
      </c>
      <c r="D36" s="222">
        <v>0</v>
      </c>
      <c r="F36" s="223">
        <v>0</v>
      </c>
      <c r="G36" s="224">
        <v>0</v>
      </c>
      <c r="I36" s="225">
        <v>0</v>
      </c>
      <c r="J36" s="222">
        <v>0</v>
      </c>
      <c r="K36" s="226">
        <v>0</v>
      </c>
      <c r="L36" s="223">
        <v>0</v>
      </c>
      <c r="M36" s="224">
        <v>0</v>
      </c>
      <c r="N36" s="227">
        <v>0</v>
      </c>
      <c r="O36" s="228">
        <v>0</v>
      </c>
      <c r="P36" s="229">
        <v>0</v>
      </c>
      <c r="Q36" s="227">
        <v>8332</v>
      </c>
      <c r="R36" s="228">
        <v>14897</v>
      </c>
      <c r="S36" s="229">
        <v>0</v>
      </c>
      <c r="T36" s="227">
        <v>8332</v>
      </c>
      <c r="U36" s="228">
        <v>14897</v>
      </c>
      <c r="V36" s="229">
        <v>0</v>
      </c>
      <c r="W36" s="227">
        <v>8332</v>
      </c>
      <c r="X36" s="228">
        <v>14897</v>
      </c>
      <c r="Y36" s="229">
        <v>0</v>
      </c>
      <c r="Z36" s="227">
        <v>8332</v>
      </c>
      <c r="AA36" s="228">
        <v>14897</v>
      </c>
      <c r="AB36" s="229">
        <v>0</v>
      </c>
      <c r="AC36" s="227">
        <v>8332</v>
      </c>
      <c r="AD36" s="228">
        <v>14897</v>
      </c>
      <c r="AE36" s="229">
        <f>107792*0.9</f>
        <v>97012.800000000003</v>
      </c>
      <c r="AF36" s="229">
        <v>8332</v>
      </c>
      <c r="AG36" s="229">
        <v>14897</v>
      </c>
      <c r="AH36" s="229">
        <v>0</v>
      </c>
      <c r="AI36" s="229">
        <v>0</v>
      </c>
      <c r="AJ36" s="229">
        <v>0</v>
      </c>
      <c r="AK36" s="229">
        <v>0</v>
      </c>
      <c r="AL36" s="229">
        <v>0</v>
      </c>
      <c r="AM36" s="229">
        <v>0</v>
      </c>
      <c r="AN36" s="230" cm="1">
        <f t="array" ref="AN36">SUMPRODUCT((D$8:AK$8&lt;&gt;"Margin")*(D$8:AK$8&lt;&gt;"Salary_$600")*D36:AK36)</f>
        <v>97012.800000000003</v>
      </c>
      <c r="AO36" s="230" cm="1">
        <f t="array" ref="AO36">SUMPRODUCT((D$8:AN$8="Margin")*D36:AN36)</f>
        <v>89382</v>
      </c>
      <c r="AP36" s="415" t="s">
        <v>344</v>
      </c>
      <c r="AQ36" s="231"/>
      <c r="AR36" s="369" t="s">
        <v>125</v>
      </c>
      <c r="AS36" s="498" t="s">
        <v>84</v>
      </c>
      <c r="AT36" s="366"/>
      <c r="AU36" s="232"/>
      <c r="AV36" s="232"/>
      <c r="AW36" s="232"/>
      <c r="AX36" s="232"/>
      <c r="AY36" s="232"/>
      <c r="AZ36" s="232"/>
      <c r="BA36" s="232"/>
      <c r="BB36" s="232"/>
      <c r="BC36" s="232"/>
      <c r="BD36" s="232"/>
      <c r="BE36" s="232"/>
      <c r="BF36" s="232"/>
      <c r="BG36" s="232"/>
      <c r="BH36" s="232"/>
      <c r="BI36" s="232"/>
      <c r="BJ36" s="232"/>
      <c r="BK36" s="233"/>
    </row>
    <row r="37" spans="1:63">
      <c r="A37" s="235" t="s">
        <v>354</v>
      </c>
      <c r="B37" s="235" t="s">
        <v>94</v>
      </c>
      <c r="C37" s="235" t="s">
        <v>101</v>
      </c>
      <c r="D37" s="236">
        <v>0</v>
      </c>
      <c r="F37" s="223"/>
      <c r="G37" s="237">
        <v>0</v>
      </c>
      <c r="I37" s="225"/>
      <c r="J37" s="236">
        <v>0</v>
      </c>
      <c r="K37" s="238">
        <v>0</v>
      </c>
      <c r="L37" s="225">
        <v>0</v>
      </c>
      <c r="M37" s="237">
        <v>0</v>
      </c>
      <c r="N37" s="227">
        <v>0</v>
      </c>
      <c r="O37" s="239">
        <v>0</v>
      </c>
      <c r="P37" s="227">
        <v>0</v>
      </c>
      <c r="Q37" s="227">
        <v>0</v>
      </c>
      <c r="R37" s="239">
        <v>0</v>
      </c>
      <c r="S37" s="227">
        <v>0</v>
      </c>
      <c r="T37" s="227">
        <v>0</v>
      </c>
      <c r="U37" s="239"/>
      <c r="V37" s="227">
        <v>0</v>
      </c>
      <c r="W37" s="227"/>
      <c r="X37" s="239"/>
      <c r="Y37" s="227">
        <v>0</v>
      </c>
      <c r="Z37" s="227">
        <v>8422</v>
      </c>
      <c r="AA37" s="239">
        <v>19156</v>
      </c>
      <c r="AB37" s="227">
        <v>0</v>
      </c>
      <c r="AC37" s="227">
        <v>8422</v>
      </c>
      <c r="AD37" s="239">
        <v>19156</v>
      </c>
      <c r="AE37" s="229">
        <v>0</v>
      </c>
      <c r="AF37" s="227">
        <v>8422</v>
      </c>
      <c r="AG37" s="239">
        <v>19156</v>
      </c>
      <c r="AH37" s="227">
        <v>0</v>
      </c>
      <c r="AI37" s="227">
        <v>8422</v>
      </c>
      <c r="AJ37" s="227">
        <v>19156</v>
      </c>
      <c r="AK37" s="227">
        <v>155360</v>
      </c>
      <c r="AL37" s="227">
        <v>8422</v>
      </c>
      <c r="AM37" s="227">
        <v>19156</v>
      </c>
      <c r="AN37" s="240" cm="1">
        <f t="array" ref="AN37">SUMPRODUCT((D$8:AK$8&lt;&gt;"Margin")*(D$8:AK$8&lt;&gt;"Salary_$600")*D37:AK37)</f>
        <v>155360</v>
      </c>
      <c r="AO37" s="240" cm="1">
        <f t="array" ref="AO37">SUMPRODUCT((D$8:AN$8="Margin")*D37:AN37)</f>
        <v>95780</v>
      </c>
      <c r="AP37" s="415" t="s">
        <v>352</v>
      </c>
      <c r="AQ37" s="242"/>
      <c r="AR37" s="369" t="s">
        <v>125</v>
      </c>
      <c r="AS37" s="498" t="s">
        <v>84</v>
      </c>
      <c r="AT37" s="157"/>
    </row>
    <row r="38" spans="1:63" ht="15">
      <c r="A38" s="220" t="s">
        <v>355</v>
      </c>
      <c r="B38" s="221" t="s">
        <v>94</v>
      </c>
      <c r="C38" s="221" t="s">
        <v>101</v>
      </c>
      <c r="D38" s="222">
        <v>0</v>
      </c>
      <c r="F38" s="223">
        <v>0</v>
      </c>
      <c r="G38" s="224">
        <v>0</v>
      </c>
      <c r="I38" s="225">
        <v>0</v>
      </c>
      <c r="J38" s="222">
        <v>0</v>
      </c>
      <c r="K38" s="226">
        <v>0</v>
      </c>
      <c r="L38" s="223">
        <v>0</v>
      </c>
      <c r="M38" s="224">
        <v>0</v>
      </c>
      <c r="N38" s="227">
        <v>0</v>
      </c>
      <c r="O38" s="228">
        <v>0</v>
      </c>
      <c r="P38" s="229">
        <v>0</v>
      </c>
      <c r="Q38" s="227">
        <v>3028</v>
      </c>
      <c r="R38" s="228">
        <v>1172</v>
      </c>
      <c r="S38" s="229">
        <v>8400</v>
      </c>
      <c r="T38" s="227">
        <v>3028</v>
      </c>
      <c r="U38" s="228">
        <v>1172</v>
      </c>
      <c r="V38" s="229">
        <v>0</v>
      </c>
      <c r="W38" s="227">
        <v>0</v>
      </c>
      <c r="X38" s="228">
        <v>0</v>
      </c>
      <c r="Y38" s="229">
        <v>0</v>
      </c>
      <c r="Z38" s="227">
        <v>0</v>
      </c>
      <c r="AA38" s="228">
        <v>0</v>
      </c>
      <c r="AB38" s="229">
        <v>0</v>
      </c>
      <c r="AC38" s="227">
        <v>0</v>
      </c>
      <c r="AD38" s="228">
        <v>0</v>
      </c>
      <c r="AE38" s="229">
        <v>0</v>
      </c>
      <c r="AF38" s="229">
        <v>0</v>
      </c>
      <c r="AG38" s="229">
        <v>0</v>
      </c>
      <c r="AH38" s="229">
        <v>0</v>
      </c>
      <c r="AI38" s="229">
        <v>0</v>
      </c>
      <c r="AJ38" s="229">
        <v>0</v>
      </c>
      <c r="AK38" s="229">
        <v>0</v>
      </c>
      <c r="AL38" s="229">
        <v>0</v>
      </c>
      <c r="AM38" s="229">
        <v>0</v>
      </c>
      <c r="AN38" s="230" cm="1">
        <f t="array" ref="AN38">SUMPRODUCT((D$8:AK$8&lt;&gt;"Margin")*(D$8:AK$8&lt;&gt;"Salary_$600")*D38:AK38)</f>
        <v>8400</v>
      </c>
      <c r="AO38" s="230" cm="1">
        <f t="array" ref="AO38">SUMPRODUCT((D$8:AN$8="Margin")*D38:AN38)</f>
        <v>2344</v>
      </c>
      <c r="AP38" s="415" t="s">
        <v>344</v>
      </c>
      <c r="AQ38" s="231"/>
      <c r="AR38" s="369" t="s">
        <v>356</v>
      </c>
      <c r="AS38" s="498" t="s">
        <v>84</v>
      </c>
      <c r="AT38" s="366"/>
      <c r="AU38" s="232"/>
      <c r="AV38" s="232"/>
      <c r="AW38" s="232"/>
      <c r="AX38" s="232"/>
      <c r="AY38" s="232"/>
      <c r="AZ38" s="232"/>
      <c r="BA38" s="232"/>
      <c r="BB38" s="232"/>
      <c r="BC38" s="232"/>
      <c r="BD38" s="232"/>
      <c r="BE38" s="232"/>
      <c r="BF38" s="232"/>
      <c r="BG38" s="232"/>
      <c r="BH38" s="232"/>
      <c r="BI38" s="232"/>
      <c r="BJ38" s="232"/>
      <c r="BK38" s="233"/>
    </row>
    <row r="39" spans="1:63" s="233" customFormat="1" ht="15">
      <c r="A39" s="220" t="s">
        <v>357</v>
      </c>
      <c r="B39" s="221" t="s">
        <v>94</v>
      </c>
      <c r="C39" s="221" t="s">
        <v>95</v>
      </c>
      <c r="D39" s="222">
        <f>4*35*'Working Days'!$C$2</f>
        <v>24640</v>
      </c>
      <c r="E39" s="225">
        <v>13375</v>
      </c>
      <c r="F39" s="223">
        <f>D39-E39</f>
        <v>11265</v>
      </c>
      <c r="G39" s="224">
        <v>0</v>
      </c>
      <c r="H39" s="168"/>
      <c r="I39" s="225">
        <v>0</v>
      </c>
      <c r="J39" s="222">
        <v>0</v>
      </c>
      <c r="K39" s="226">
        <v>0</v>
      </c>
      <c r="L39" s="223">
        <v>0</v>
      </c>
      <c r="M39" s="224">
        <v>0</v>
      </c>
      <c r="N39" s="227"/>
      <c r="O39" s="228"/>
      <c r="P39" s="229">
        <v>0</v>
      </c>
      <c r="Q39" s="227"/>
      <c r="R39" s="228"/>
      <c r="S39" s="229">
        <v>0</v>
      </c>
      <c r="T39" s="227"/>
      <c r="U39" s="228"/>
      <c r="V39" s="229">
        <v>0</v>
      </c>
      <c r="W39" s="227"/>
      <c r="X39" s="228"/>
      <c r="Y39" s="229">
        <v>0</v>
      </c>
      <c r="Z39" s="227"/>
      <c r="AA39" s="228"/>
      <c r="AB39" s="229">
        <v>0</v>
      </c>
      <c r="AC39" s="227">
        <v>0</v>
      </c>
      <c r="AD39" s="228">
        <v>0</v>
      </c>
      <c r="AE39" s="229">
        <v>0</v>
      </c>
      <c r="AF39" s="229">
        <v>0</v>
      </c>
      <c r="AG39" s="229">
        <v>0</v>
      </c>
      <c r="AH39" s="229">
        <v>0</v>
      </c>
      <c r="AI39" s="229">
        <v>0</v>
      </c>
      <c r="AJ39" s="229">
        <v>0</v>
      </c>
      <c r="AK39" s="229">
        <v>0</v>
      </c>
      <c r="AL39" s="229">
        <v>0</v>
      </c>
      <c r="AM39" s="229">
        <v>0</v>
      </c>
      <c r="AN39" s="230" cm="1">
        <f t="array" ref="AN39">SUMPRODUCT((D$8:AK$8&lt;&gt;"Margin")*(D$8:AK$8&lt;&gt;"Salary_$600")*D39:AK39)</f>
        <v>24640</v>
      </c>
      <c r="AO39" s="230" cm="1">
        <f t="array" ref="AO39">SUMPRODUCT((D$8:AN$8="Margin")*D39:AN39)</f>
        <v>11265</v>
      </c>
      <c r="AP39" s="415" t="s">
        <v>358</v>
      </c>
      <c r="AQ39" s="231"/>
      <c r="AR39" s="369" t="s">
        <v>32</v>
      </c>
      <c r="AS39" s="498" t="s">
        <v>84</v>
      </c>
      <c r="AT39" s="366"/>
      <c r="AU39" s="232"/>
      <c r="AV39" s="232"/>
      <c r="AW39" s="232"/>
      <c r="AX39" s="232"/>
      <c r="AY39" s="232"/>
      <c r="AZ39" s="232"/>
      <c r="BA39" s="232"/>
      <c r="BB39" s="232"/>
      <c r="BC39" s="232"/>
      <c r="BD39" s="232"/>
      <c r="BE39" s="232"/>
      <c r="BF39" s="232"/>
      <c r="BG39" s="232"/>
      <c r="BH39" s="232"/>
      <c r="BI39" s="232"/>
      <c r="BJ39" s="232"/>
    </row>
    <row r="40" spans="1:63">
      <c r="A40" s="235" t="s">
        <v>142</v>
      </c>
      <c r="B40" s="235" t="s">
        <v>94</v>
      </c>
      <c r="C40" s="235" t="s">
        <v>95</v>
      </c>
      <c r="D40" s="236">
        <v>4699</v>
      </c>
      <c r="E40" s="168">
        <v>0</v>
      </c>
      <c r="F40" s="223">
        <v>0</v>
      </c>
      <c r="G40" s="237">
        <v>0</v>
      </c>
      <c r="H40" s="168">
        <v>0</v>
      </c>
      <c r="I40" s="225">
        <v>0</v>
      </c>
      <c r="J40" s="236">
        <v>0</v>
      </c>
      <c r="K40" s="238">
        <v>0</v>
      </c>
      <c r="L40" s="239">
        <v>0</v>
      </c>
      <c r="M40" s="237">
        <v>4699</v>
      </c>
      <c r="N40" s="227">
        <v>0</v>
      </c>
      <c r="O40" s="239">
        <v>0</v>
      </c>
      <c r="P40" s="227">
        <v>0</v>
      </c>
      <c r="Q40" s="227">
        <v>0</v>
      </c>
      <c r="R40" s="239">
        <v>0</v>
      </c>
      <c r="S40" s="227">
        <v>0</v>
      </c>
      <c r="T40" s="227">
        <v>0</v>
      </c>
      <c r="U40" s="239">
        <v>0</v>
      </c>
      <c r="V40" s="227">
        <v>4699</v>
      </c>
      <c r="W40" s="227">
        <v>0</v>
      </c>
      <c r="X40" s="239">
        <v>0</v>
      </c>
      <c r="Y40" s="253">
        <v>0</v>
      </c>
      <c r="Z40" s="227">
        <v>0</v>
      </c>
      <c r="AA40" s="239">
        <v>0</v>
      </c>
      <c r="AB40" s="253">
        <v>0</v>
      </c>
      <c r="AC40" s="227">
        <v>0</v>
      </c>
      <c r="AD40" s="239">
        <v>0</v>
      </c>
      <c r="AE40" s="227">
        <v>4698</v>
      </c>
      <c r="AF40" s="227">
        <v>0</v>
      </c>
      <c r="AG40" s="239">
        <v>0</v>
      </c>
      <c r="AH40" s="253">
        <v>0</v>
      </c>
      <c r="AI40" s="227">
        <v>0</v>
      </c>
      <c r="AJ40" s="239">
        <v>0</v>
      </c>
      <c r="AK40" s="253">
        <v>0</v>
      </c>
      <c r="AL40" s="227">
        <v>0</v>
      </c>
      <c r="AM40" s="239">
        <v>0</v>
      </c>
      <c r="AN40" s="240" cm="1">
        <f t="array" ref="AN40">SUMPRODUCT((D$8:AK$8&lt;&gt;"Margin")*(D$8:AK$8&lt;&gt;"Salary_$600")*D40:AK40)</f>
        <v>18795</v>
      </c>
      <c r="AO40" s="240" cm="1">
        <f t="array" ref="AO40">SUMPRODUCT((D$8:AN$8="Margin")*D40:AN40)</f>
        <v>0</v>
      </c>
      <c r="AP40" s="415" t="s">
        <v>35</v>
      </c>
      <c r="AQ40" s="242" t="s">
        <v>31</v>
      </c>
      <c r="AR40" s="369" t="s">
        <v>32</v>
      </c>
      <c r="AS40" s="498" t="s">
        <v>84</v>
      </c>
      <c r="AT40" s="157" t="s">
        <v>359</v>
      </c>
    </row>
    <row r="41" spans="1:63">
      <c r="A41" s="235" t="s">
        <v>143</v>
      </c>
      <c r="B41" s="235" t="s">
        <v>94</v>
      </c>
      <c r="C41" s="235" t="s">
        <v>95</v>
      </c>
      <c r="D41" s="236">
        <v>5600</v>
      </c>
      <c r="F41" s="223">
        <v>361</v>
      </c>
      <c r="G41" s="237">
        <v>5320</v>
      </c>
      <c r="I41" s="225">
        <v>361</v>
      </c>
      <c r="J41" s="236">
        <v>5040</v>
      </c>
      <c r="K41" s="238">
        <v>4679</v>
      </c>
      <c r="L41" s="225">
        <f>J41-K41</f>
        <v>361</v>
      </c>
      <c r="M41" s="252">
        <f>1*35*'Working Days'!$C$5</f>
        <v>6160</v>
      </c>
      <c r="N41" s="227">
        <v>4679</v>
      </c>
      <c r="O41" s="239">
        <f>M41-N41</f>
        <v>1481</v>
      </c>
      <c r="P41" s="227">
        <v>5880</v>
      </c>
      <c r="Q41" s="227">
        <v>4679</v>
      </c>
      <c r="R41" s="239">
        <f>P41-Q41</f>
        <v>1201</v>
      </c>
      <c r="S41" s="227">
        <f>1*35*'Working Days'!$C$7</f>
        <v>5880</v>
      </c>
      <c r="T41" s="227">
        <v>4679</v>
      </c>
      <c r="U41" s="239">
        <f>S41-T41</f>
        <v>1201</v>
      </c>
      <c r="V41" s="227">
        <v>6160</v>
      </c>
      <c r="W41" s="227">
        <v>4679</v>
      </c>
      <c r="X41" s="239">
        <f>V41-W41</f>
        <v>1481</v>
      </c>
      <c r="Y41" s="253">
        <f>1*35*'Working Days'!$C$9</f>
        <v>5600</v>
      </c>
      <c r="Z41" s="227">
        <v>4679</v>
      </c>
      <c r="AA41" s="239">
        <f>Y41-Z41</f>
        <v>921</v>
      </c>
      <c r="AB41" s="227">
        <f>1*35*'Working Days'!$C$10</f>
        <v>6160</v>
      </c>
      <c r="AC41" s="227">
        <v>4679</v>
      </c>
      <c r="AD41" s="239">
        <f>AB41-AC41</f>
        <v>1481</v>
      </c>
      <c r="AE41" s="227">
        <v>5320</v>
      </c>
      <c r="AF41" s="227">
        <v>4679</v>
      </c>
      <c r="AG41" s="239">
        <f>AE41-AF41</f>
        <v>641</v>
      </c>
      <c r="AH41" s="250">
        <f>1*35*'Working Days'!$C$12</f>
        <v>5320</v>
      </c>
      <c r="AI41" s="227">
        <v>4679</v>
      </c>
      <c r="AJ41" s="239">
        <f>AH41-AI41</f>
        <v>641</v>
      </c>
      <c r="AK41" s="227">
        <v>4480</v>
      </c>
      <c r="AL41" s="227">
        <v>4679</v>
      </c>
      <c r="AM41" s="239">
        <f>AK41-AL41</f>
        <v>-199</v>
      </c>
      <c r="AN41" s="240" cm="1">
        <f t="array" ref="AN41">SUMPRODUCT((D$8:AK$8&lt;&gt;"Margin")*(D$8:AK$8&lt;&gt;"Salary_$600")*D41:AK41)</f>
        <v>66920</v>
      </c>
      <c r="AO41" s="240" cm="1">
        <f t="array" ref="AO41">SUMPRODUCT((D$8:AN$8="Margin")*D41:AN41)</f>
        <v>9932</v>
      </c>
      <c r="AP41" s="415" t="s">
        <v>35</v>
      </c>
      <c r="AQ41" s="242" t="s">
        <v>31</v>
      </c>
      <c r="AR41" s="369" t="s">
        <v>32</v>
      </c>
      <c r="AS41" s="498" t="s">
        <v>84</v>
      </c>
      <c r="AT41" s="157" t="s">
        <v>360</v>
      </c>
    </row>
    <row r="42" spans="1:63">
      <c r="A42" s="235" t="s">
        <v>144</v>
      </c>
      <c r="B42" s="235" t="s">
        <v>94</v>
      </c>
      <c r="C42" s="235" t="s">
        <v>95</v>
      </c>
      <c r="D42" s="236">
        <v>5880</v>
      </c>
      <c r="F42" s="223">
        <v>7144</v>
      </c>
      <c r="G42" s="237">
        <v>15400</v>
      </c>
      <c r="I42" s="225">
        <v>7144</v>
      </c>
      <c r="J42" s="236">
        <v>16520</v>
      </c>
      <c r="K42" s="238">
        <v>9376</v>
      </c>
      <c r="L42" s="225">
        <f>J42-K42</f>
        <v>7144</v>
      </c>
      <c r="M42" s="237">
        <v>17640</v>
      </c>
      <c r="N42" s="227">
        <v>9884</v>
      </c>
      <c r="O42" s="239">
        <f>M42-N42</f>
        <v>7756</v>
      </c>
      <c r="P42" s="227">
        <v>18200</v>
      </c>
      <c r="Q42" s="227">
        <v>9884</v>
      </c>
      <c r="R42" s="239">
        <f>P42-Q42</f>
        <v>8316</v>
      </c>
      <c r="S42" s="227">
        <v>17080</v>
      </c>
      <c r="T42" s="227">
        <v>9884</v>
      </c>
      <c r="U42" s="239">
        <f>S42-T42</f>
        <v>7196</v>
      </c>
      <c r="V42" s="227">
        <f>3*35*'Working Days'!$C$8</f>
        <v>19320</v>
      </c>
      <c r="W42" s="227">
        <v>9884</v>
      </c>
      <c r="X42" s="239">
        <f>V42-W42</f>
        <v>9436</v>
      </c>
      <c r="Y42" s="253">
        <v>15680</v>
      </c>
      <c r="Z42" s="227">
        <v>9884</v>
      </c>
      <c r="AA42" s="239">
        <f>Y42-Z42</f>
        <v>5796</v>
      </c>
      <c r="AB42" s="227">
        <v>18200</v>
      </c>
      <c r="AC42" s="227">
        <v>9884</v>
      </c>
      <c r="AD42" s="239">
        <f>AB42-AC42</f>
        <v>8316</v>
      </c>
      <c r="AE42" s="227">
        <f>3*35*'Working Days'!$C$11</f>
        <v>16800</v>
      </c>
      <c r="AF42" s="227">
        <v>9884</v>
      </c>
      <c r="AG42" s="239">
        <f>AE42-AF42</f>
        <v>6916</v>
      </c>
      <c r="AH42" s="119">
        <f>2*35*'Working Days'!$C$12</f>
        <v>10640</v>
      </c>
      <c r="AI42" s="227"/>
      <c r="AJ42" s="239">
        <f>AH42*0.4</f>
        <v>4256</v>
      </c>
      <c r="AK42" s="119">
        <v>8680</v>
      </c>
      <c r="AL42" s="227"/>
      <c r="AM42" s="239">
        <f>AK42*0.4</f>
        <v>3472</v>
      </c>
      <c r="AN42" s="240" cm="1">
        <f t="array" ref="AN42">SUMPRODUCT((D$8:AK$8&lt;&gt;"Margin")*(D$8:AK$8&lt;&gt;"Salary_$600")*D42:AK42)</f>
        <v>180040</v>
      </c>
      <c r="AO42" s="240" cm="1">
        <f t="array" ref="AO42">SUMPRODUCT((D$8:AN$8="Margin")*D42:AN42)</f>
        <v>82892</v>
      </c>
      <c r="AP42" s="415" t="s">
        <v>145</v>
      </c>
      <c r="AQ42" s="242" t="s">
        <v>31</v>
      </c>
      <c r="AR42" s="369" t="s">
        <v>32</v>
      </c>
      <c r="AS42" s="498" t="s">
        <v>84</v>
      </c>
      <c r="AT42" s="157" t="s">
        <v>361</v>
      </c>
    </row>
    <row r="43" spans="1:63">
      <c r="A43" s="235" t="s">
        <v>146</v>
      </c>
      <c r="B43" s="235" t="s">
        <v>94</v>
      </c>
      <c r="C43" s="235" t="s">
        <v>95</v>
      </c>
      <c r="D43" s="236">
        <v>11760</v>
      </c>
      <c r="F43" s="223">
        <v>3601</v>
      </c>
      <c r="G43" s="237">
        <v>10920</v>
      </c>
      <c r="I43" s="225">
        <v>3601</v>
      </c>
      <c r="J43" s="236">
        <v>10920</v>
      </c>
      <c r="K43" s="238">
        <v>7319</v>
      </c>
      <c r="L43" s="225">
        <f>J43-K43</f>
        <v>3601</v>
      </c>
      <c r="M43" s="237">
        <v>10640</v>
      </c>
      <c r="N43" s="227">
        <v>7319</v>
      </c>
      <c r="O43" s="239">
        <f>M43-N43</f>
        <v>3321</v>
      </c>
      <c r="P43" s="227">
        <v>11200</v>
      </c>
      <c r="Q43" s="227">
        <v>7319</v>
      </c>
      <c r="R43" s="239">
        <f>P43-Q43</f>
        <v>3881</v>
      </c>
      <c r="S43" s="227">
        <v>10640</v>
      </c>
      <c r="T43" s="227">
        <v>7319</v>
      </c>
      <c r="U43" s="239">
        <f>S43-T43</f>
        <v>3321</v>
      </c>
      <c r="V43" s="227">
        <v>12600</v>
      </c>
      <c r="W43" s="227">
        <v>7319</v>
      </c>
      <c r="X43" s="239">
        <f>V43-W43</f>
        <v>5281</v>
      </c>
      <c r="Y43" s="253">
        <f>2*35*'Working Days'!$C$9</f>
        <v>11200</v>
      </c>
      <c r="Z43" s="227">
        <v>7319</v>
      </c>
      <c r="AA43" s="239">
        <f>Y43-Z43</f>
        <v>3881</v>
      </c>
      <c r="AB43" s="227">
        <v>11480</v>
      </c>
      <c r="AC43" s="227">
        <v>7319</v>
      </c>
      <c r="AD43" s="239">
        <f>AB43-AC43</f>
        <v>4161</v>
      </c>
      <c r="AE43" s="227">
        <v>10640</v>
      </c>
      <c r="AF43" s="227">
        <v>7319</v>
      </c>
      <c r="AG43" s="239">
        <f>AE43-AF43</f>
        <v>3321</v>
      </c>
      <c r="AH43" s="119">
        <f>2*35*'Working Days'!$C$12</f>
        <v>10640</v>
      </c>
      <c r="AI43" s="227">
        <v>7319</v>
      </c>
      <c r="AJ43" s="239">
        <f>AH43-AI43</f>
        <v>3321</v>
      </c>
      <c r="AK43" s="119">
        <v>7560</v>
      </c>
      <c r="AL43" s="227">
        <v>7319</v>
      </c>
      <c r="AM43" s="239">
        <f>AK43-AL43</f>
        <v>241</v>
      </c>
      <c r="AN43" s="240" cm="1">
        <f t="array" ref="AN43">SUMPRODUCT((D$8:AK$8&lt;&gt;"Margin")*(D$8:AK$8&lt;&gt;"Salary_$600")*D43:AK43)</f>
        <v>130200</v>
      </c>
      <c r="AO43" s="240" cm="1">
        <f t="array" ref="AO43">SUMPRODUCT((D$8:AN$8="Margin")*D43:AN43)</f>
        <v>41532</v>
      </c>
      <c r="AP43" s="415" t="s">
        <v>145</v>
      </c>
      <c r="AQ43" s="242" t="s">
        <v>31</v>
      </c>
      <c r="AR43" s="369" t="s">
        <v>32</v>
      </c>
      <c r="AS43" s="498" t="s">
        <v>84</v>
      </c>
      <c r="AT43" s="157" t="s">
        <v>362</v>
      </c>
    </row>
    <row r="44" spans="1:63">
      <c r="A44" s="235" t="s">
        <v>147</v>
      </c>
      <c r="B44" s="235" t="s">
        <v>94</v>
      </c>
      <c r="C44" s="235" t="s">
        <v>95</v>
      </c>
      <c r="D44" s="236"/>
      <c r="F44" s="223"/>
      <c r="G44" s="237"/>
      <c r="I44" s="225"/>
      <c r="J44" s="236"/>
      <c r="K44" s="238"/>
      <c r="L44" s="225"/>
      <c r="M44" s="237"/>
      <c r="N44" s="227"/>
      <c r="O44" s="239"/>
      <c r="P44" s="227"/>
      <c r="Q44" s="227"/>
      <c r="R44" s="239"/>
      <c r="S44" s="227"/>
      <c r="T44" s="227"/>
      <c r="U44" s="239"/>
      <c r="V44" s="227"/>
      <c r="W44" s="227"/>
      <c r="X44" s="239">
        <f>V44-W44</f>
        <v>0</v>
      </c>
      <c r="Y44" s="253">
        <v>5600</v>
      </c>
      <c r="Z44" s="227">
        <v>2245</v>
      </c>
      <c r="AA44" s="239">
        <f>Y44-Z44+Y40</f>
        <v>3355</v>
      </c>
      <c r="AB44" s="227">
        <v>6020</v>
      </c>
      <c r="AC44" s="227">
        <v>2245</v>
      </c>
      <c r="AD44" s="239">
        <f>AB44-AC44+AB40</f>
        <v>3775</v>
      </c>
      <c r="AE44" s="227">
        <v>0</v>
      </c>
      <c r="AF44" s="227">
        <v>2245</v>
      </c>
      <c r="AG44" s="239">
        <f>AE44-AF44+AE40</f>
        <v>2453</v>
      </c>
      <c r="AH44" s="227">
        <v>5600</v>
      </c>
      <c r="AI44" s="227">
        <v>2245</v>
      </c>
      <c r="AJ44" s="239">
        <f>AH44-AI44+AH40</f>
        <v>3355</v>
      </c>
      <c r="AK44" s="227">
        <v>4480</v>
      </c>
      <c r="AL44" s="227">
        <v>2245</v>
      </c>
      <c r="AM44" s="239">
        <f>AK44-AL44+AK40</f>
        <v>2235</v>
      </c>
      <c r="AN44" s="240" cm="1">
        <f t="array" ref="AN44">SUMPRODUCT((D$8:AK$8&lt;&gt;"Margin")*(D$8:AK$8&lt;&gt;"Salary_$600")*D44:AK44)</f>
        <v>21700</v>
      </c>
      <c r="AO44" s="240" cm="1">
        <f t="array" ref="AO44">SUMPRODUCT((D$8:AN$8="Margin")*D44:AN44)</f>
        <v>15173</v>
      </c>
      <c r="AP44" s="415" t="s">
        <v>39</v>
      </c>
      <c r="AQ44" s="242"/>
      <c r="AR44" s="369" t="s">
        <v>32</v>
      </c>
      <c r="AS44" s="498" t="s">
        <v>84</v>
      </c>
      <c r="AT44" s="157"/>
    </row>
    <row r="45" spans="1:63">
      <c r="A45" s="235" t="s">
        <v>148</v>
      </c>
      <c r="B45" s="235" t="s">
        <v>94</v>
      </c>
      <c r="C45" s="235" t="s">
        <v>95</v>
      </c>
      <c r="D45" s="236">
        <v>14166</v>
      </c>
      <c r="E45" s="168">
        <v>4800</v>
      </c>
      <c r="F45" s="223">
        <f>D45-E45</f>
        <v>9366</v>
      </c>
      <c r="G45" s="237">
        <v>14166</v>
      </c>
      <c r="H45" s="168">
        <v>4800</v>
      </c>
      <c r="I45" s="225">
        <f>G45-H45</f>
        <v>9366</v>
      </c>
      <c r="J45" s="236">
        <v>14166</v>
      </c>
      <c r="K45" s="238">
        <v>4800</v>
      </c>
      <c r="L45" s="225">
        <f>J45-K45</f>
        <v>9366</v>
      </c>
      <c r="M45" s="237">
        <v>14166</v>
      </c>
      <c r="N45" s="227">
        <v>4800</v>
      </c>
      <c r="O45" s="239">
        <f>M45-N45</f>
        <v>9366</v>
      </c>
      <c r="P45" s="227">
        <v>14166</v>
      </c>
      <c r="Q45" s="227">
        <v>4800</v>
      </c>
      <c r="R45" s="239">
        <f>P45-Q45</f>
        <v>9366</v>
      </c>
      <c r="S45" s="227">
        <v>14166</v>
      </c>
      <c r="T45" s="227">
        <v>4800</v>
      </c>
      <c r="U45" s="239">
        <f>S45-T45</f>
        <v>9366</v>
      </c>
      <c r="V45" s="227">
        <f>12500+1666</f>
        <v>14166</v>
      </c>
      <c r="W45" s="227">
        <v>4800</v>
      </c>
      <c r="X45" s="239">
        <f>V45-W45</f>
        <v>9366</v>
      </c>
      <c r="Y45" s="253">
        <v>14166</v>
      </c>
      <c r="Z45" s="227">
        <v>4800</v>
      </c>
      <c r="AA45" s="239">
        <f>Y45-Z45</f>
        <v>9366</v>
      </c>
      <c r="AB45" s="227">
        <v>14166</v>
      </c>
      <c r="AC45" s="227">
        <v>4800</v>
      </c>
      <c r="AD45" s="239">
        <f>AB45-AC45</f>
        <v>9366</v>
      </c>
      <c r="AE45" s="227">
        <v>14166</v>
      </c>
      <c r="AF45" s="227">
        <v>4800</v>
      </c>
      <c r="AG45" s="239">
        <f>AE45-AF45</f>
        <v>9366</v>
      </c>
      <c r="AH45" s="119">
        <v>14166</v>
      </c>
      <c r="AI45" s="227">
        <v>4800</v>
      </c>
      <c r="AJ45" s="239">
        <f>AH45-AI45</f>
        <v>9366</v>
      </c>
      <c r="AK45" s="119">
        <v>14166</v>
      </c>
      <c r="AL45" s="227">
        <v>4800</v>
      </c>
      <c r="AM45" s="239">
        <f>AK45-AL45</f>
        <v>9366</v>
      </c>
      <c r="AN45" s="240" cm="1">
        <f t="array" ref="AN45">SUMPRODUCT((D$8:AK$8&lt;&gt;"Margin")*(D$8:AK$8&lt;&gt;"Salary_$600")*D45:AK45)</f>
        <v>169992</v>
      </c>
      <c r="AO45" s="240" cm="1">
        <f t="array" ref="AO45">SUMPRODUCT((D$8:AN$8="Margin")*D45:AN45)</f>
        <v>112392</v>
      </c>
      <c r="AP45" s="415" t="s">
        <v>39</v>
      </c>
      <c r="AQ45" s="242" t="s">
        <v>31</v>
      </c>
      <c r="AR45" s="369" t="s">
        <v>32</v>
      </c>
      <c r="AS45" s="498" t="s">
        <v>84</v>
      </c>
      <c r="AT45" s="157" t="s">
        <v>363</v>
      </c>
    </row>
    <row r="46" spans="1:63">
      <c r="A46" s="235" t="s">
        <v>364</v>
      </c>
      <c r="B46" s="235" t="s">
        <v>94</v>
      </c>
      <c r="C46" s="235" t="s">
        <v>95</v>
      </c>
      <c r="D46" s="236">
        <v>1041</v>
      </c>
      <c r="E46" s="168">
        <v>2245</v>
      </c>
      <c r="F46" s="223">
        <f>D46-E46+D40</f>
        <v>3495</v>
      </c>
      <c r="G46" s="237">
        <v>5320</v>
      </c>
      <c r="H46" s="168">
        <v>2245</v>
      </c>
      <c r="I46" s="225">
        <f>G46-H46+G40</f>
        <v>3075</v>
      </c>
      <c r="J46" s="236">
        <v>5320</v>
      </c>
      <c r="K46" s="238">
        <v>2245</v>
      </c>
      <c r="L46" s="225">
        <f>J46-K46+J40</f>
        <v>3075</v>
      </c>
      <c r="M46" s="237">
        <v>1181</v>
      </c>
      <c r="N46" s="227">
        <v>2245</v>
      </c>
      <c r="O46" s="239">
        <f>M46-N46+M40</f>
        <v>3635</v>
      </c>
      <c r="P46" s="227">
        <v>6160</v>
      </c>
      <c r="Q46" s="227">
        <v>2245</v>
      </c>
      <c r="R46" s="239">
        <f>P46-Q46+P40</f>
        <v>3915</v>
      </c>
      <c r="S46" s="227">
        <v>5740</v>
      </c>
      <c r="T46" s="227">
        <v>2245</v>
      </c>
      <c r="U46" s="239">
        <f>S46-T46+S40</f>
        <v>3495</v>
      </c>
      <c r="V46" s="227">
        <v>1461</v>
      </c>
      <c r="W46" s="227">
        <v>2245</v>
      </c>
      <c r="X46" s="239">
        <f>V46-W46+V40</f>
        <v>3915</v>
      </c>
      <c r="Y46" s="253">
        <v>0</v>
      </c>
      <c r="Z46" s="227">
        <v>0</v>
      </c>
      <c r="AA46" s="239">
        <v>0</v>
      </c>
      <c r="AB46" s="227">
        <v>0</v>
      </c>
      <c r="AC46" s="227">
        <v>0</v>
      </c>
      <c r="AD46" s="239">
        <v>0</v>
      </c>
      <c r="AE46" s="227">
        <v>0</v>
      </c>
      <c r="AF46" s="227">
        <v>0</v>
      </c>
      <c r="AG46" s="239">
        <v>0</v>
      </c>
      <c r="AH46" s="119">
        <v>0</v>
      </c>
      <c r="AI46" s="227">
        <v>0</v>
      </c>
      <c r="AJ46" s="239">
        <v>0</v>
      </c>
      <c r="AK46" s="119">
        <v>0</v>
      </c>
      <c r="AL46" s="227">
        <v>0</v>
      </c>
      <c r="AM46" s="239">
        <v>0</v>
      </c>
      <c r="AN46" s="240" cm="1">
        <f t="array" ref="AN46">SUMPRODUCT((D$8:AK$8&lt;&gt;"Margin")*(D$8:AK$8&lt;&gt;"Salary_$600")*D46:AK46)</f>
        <v>26223</v>
      </c>
      <c r="AO46" s="240" cm="1">
        <f t="array" ref="AO46">SUMPRODUCT((D$8:AN$8="Margin")*D46:AN46)</f>
        <v>24605</v>
      </c>
      <c r="AP46" s="415" t="s">
        <v>39</v>
      </c>
      <c r="AQ46" s="242" t="s">
        <v>31</v>
      </c>
      <c r="AR46" s="369" t="s">
        <v>32</v>
      </c>
      <c r="AS46" s="498" t="s">
        <v>84</v>
      </c>
      <c r="AT46" s="157" t="s">
        <v>363</v>
      </c>
    </row>
    <row r="47" spans="1:63">
      <c r="A47" s="235" t="s">
        <v>365</v>
      </c>
      <c r="B47" s="235" t="s">
        <v>94</v>
      </c>
      <c r="C47" s="235" t="s">
        <v>95</v>
      </c>
      <c r="D47" s="236">
        <f>2*35*'Working Days'!$C$2</f>
        <v>12320</v>
      </c>
      <c r="F47" s="223">
        <v>6698</v>
      </c>
      <c r="G47" s="237">
        <v>10360</v>
      </c>
      <c r="I47" s="225">
        <v>6698</v>
      </c>
      <c r="J47" s="236">
        <v>11200</v>
      </c>
      <c r="K47" s="238">
        <v>4502</v>
      </c>
      <c r="L47" s="225">
        <f>J47-K47</f>
        <v>6698</v>
      </c>
      <c r="M47" s="237">
        <v>12040</v>
      </c>
      <c r="N47" s="227">
        <v>4942</v>
      </c>
      <c r="O47" s="239">
        <f>M47-N47</f>
        <v>7098</v>
      </c>
      <c r="P47" s="227">
        <f>2*35*'Working Days'!$C$6</f>
        <v>12320</v>
      </c>
      <c r="Q47" s="227">
        <v>4942</v>
      </c>
      <c r="R47" s="239">
        <f>P47-Q47</f>
        <v>7378</v>
      </c>
      <c r="S47" s="227">
        <v>11480</v>
      </c>
      <c r="T47" s="227">
        <v>4942</v>
      </c>
      <c r="U47" s="239">
        <f>S47-T47</f>
        <v>6538</v>
      </c>
      <c r="V47" s="227">
        <v>12320</v>
      </c>
      <c r="W47" s="227">
        <v>4942</v>
      </c>
      <c r="X47" s="239">
        <f>V47-W47</f>
        <v>7378</v>
      </c>
      <c r="Y47" s="253">
        <v>10920</v>
      </c>
      <c r="Z47" s="227">
        <v>4942</v>
      </c>
      <c r="AA47" s="239">
        <f>Y47-Z47</f>
        <v>5978</v>
      </c>
      <c r="AB47" s="227">
        <f>2*35*'Working Days'!$C$10</f>
        <v>12320</v>
      </c>
      <c r="AC47" s="227">
        <v>4942</v>
      </c>
      <c r="AD47" s="239">
        <f>AB47-AC47</f>
        <v>7378</v>
      </c>
      <c r="AE47" s="227">
        <f>2*35*'Working Days'!$C$11</f>
        <v>11200</v>
      </c>
      <c r="AF47" s="227">
        <v>4942</v>
      </c>
      <c r="AG47" s="239">
        <f>AE47-AF47</f>
        <v>6258</v>
      </c>
      <c r="AH47" s="119">
        <v>0</v>
      </c>
      <c r="AI47" s="227">
        <v>0</v>
      </c>
      <c r="AJ47" s="239">
        <v>0</v>
      </c>
      <c r="AK47" s="119">
        <v>0</v>
      </c>
      <c r="AL47" s="227">
        <v>0</v>
      </c>
      <c r="AM47" s="239">
        <v>0</v>
      </c>
      <c r="AN47" s="240" cm="1">
        <f t="array" ref="AN47">SUMPRODUCT((D$8:AK$8&lt;&gt;"Margin")*(D$8:AK$8&lt;&gt;"Salary_$600")*D47:AK47)</f>
        <v>116480</v>
      </c>
      <c r="AO47" s="240" cm="1">
        <f t="array" ref="AO47">SUMPRODUCT((D$8:AN$8="Margin")*D47:AN47)</f>
        <v>68100</v>
      </c>
      <c r="AP47" s="415" t="s">
        <v>37</v>
      </c>
      <c r="AQ47" s="242" t="s">
        <v>31</v>
      </c>
      <c r="AR47" s="369" t="s">
        <v>32</v>
      </c>
      <c r="AS47" s="498" t="s">
        <v>84</v>
      </c>
      <c r="AT47" s="157" t="s">
        <v>366</v>
      </c>
    </row>
    <row r="48" spans="1:63">
      <c r="A48" s="235" t="s">
        <v>150</v>
      </c>
      <c r="B48" s="235" t="s">
        <v>94</v>
      </c>
      <c r="C48" s="235" t="s">
        <v>95</v>
      </c>
      <c r="D48" s="236">
        <f>1*35*'Working Days'!$C$2</f>
        <v>6160</v>
      </c>
      <c r="F48" s="223">
        <v>2863</v>
      </c>
      <c r="G48" s="237">
        <v>5180</v>
      </c>
      <c r="I48" s="225">
        <v>2863</v>
      </c>
      <c r="J48" s="236">
        <v>5600</v>
      </c>
      <c r="K48" s="238">
        <v>2737</v>
      </c>
      <c r="L48" s="225">
        <f>J48-K48</f>
        <v>2863</v>
      </c>
      <c r="M48" s="237">
        <v>5880</v>
      </c>
      <c r="N48" s="227">
        <v>2993</v>
      </c>
      <c r="O48" s="239">
        <f>M48-N48</f>
        <v>2887</v>
      </c>
      <c r="P48" s="227">
        <f>1*35*'Working Days'!$C$6</f>
        <v>6160</v>
      </c>
      <c r="Q48" s="227">
        <v>2993</v>
      </c>
      <c r="R48" s="239">
        <f>P48-Q48</f>
        <v>3167</v>
      </c>
      <c r="S48" s="227">
        <v>5320</v>
      </c>
      <c r="T48" s="227">
        <v>2993</v>
      </c>
      <c r="U48" s="239">
        <f>S48-T48</f>
        <v>2327</v>
      </c>
      <c r="V48" s="227">
        <f>1*35*'Working Days'!$C$8</f>
        <v>6440</v>
      </c>
      <c r="W48" s="227">
        <v>2993</v>
      </c>
      <c r="X48" s="239">
        <f>V48-W48</f>
        <v>3447</v>
      </c>
      <c r="Y48" s="253">
        <v>5460</v>
      </c>
      <c r="Z48" s="227">
        <v>2993</v>
      </c>
      <c r="AA48" s="239">
        <f>Y48-Z48</f>
        <v>2467</v>
      </c>
      <c r="AB48" s="227">
        <f>1*35*'Working Days'!$C$10</f>
        <v>6160</v>
      </c>
      <c r="AC48" s="227">
        <v>2993</v>
      </c>
      <c r="AD48" s="239">
        <f>AB48-AC48</f>
        <v>3167</v>
      </c>
      <c r="AE48" s="227">
        <f>1*35*'Working Days'!$C$11</f>
        <v>5600</v>
      </c>
      <c r="AF48" s="227">
        <v>2993</v>
      </c>
      <c r="AG48" s="239">
        <f>AE48-AF48</f>
        <v>2607</v>
      </c>
      <c r="AH48" s="119">
        <f>2*1*35*'Working Days'!$C$12</f>
        <v>10640</v>
      </c>
      <c r="AI48" s="227">
        <f>2993*2</f>
        <v>5986</v>
      </c>
      <c r="AJ48" s="239">
        <f>AH48-AI48</f>
        <v>4654</v>
      </c>
      <c r="AK48" s="119">
        <v>8680</v>
      </c>
      <c r="AL48" s="227">
        <f>2993*2</f>
        <v>5986</v>
      </c>
      <c r="AM48" s="239">
        <f>AK48-AL48</f>
        <v>2694</v>
      </c>
      <c r="AN48" s="240" cm="1">
        <f t="array" ref="AN48">SUMPRODUCT((D$8:AK$8&lt;&gt;"Margin")*(D$8:AK$8&lt;&gt;"Salary_$600")*D48:AK48)</f>
        <v>77280</v>
      </c>
      <c r="AO48" s="240" cm="1">
        <f t="array" ref="AO48">SUMPRODUCT((D$8:AN$8="Margin")*D48:AN48)</f>
        <v>36006</v>
      </c>
      <c r="AP48" s="415" t="s">
        <v>37</v>
      </c>
      <c r="AQ48" s="242" t="s">
        <v>31</v>
      </c>
      <c r="AR48" s="369" t="s">
        <v>32</v>
      </c>
      <c r="AS48" s="498" t="s">
        <v>84</v>
      </c>
      <c r="AT48" s="157" t="s">
        <v>367</v>
      </c>
    </row>
    <row r="49" spans="1:63">
      <c r="A49" s="235" t="s">
        <v>151</v>
      </c>
      <c r="B49" s="235" t="s">
        <v>94</v>
      </c>
      <c r="C49" s="254" t="s">
        <v>101</v>
      </c>
      <c r="D49" s="236">
        <v>0</v>
      </c>
      <c r="E49" s="236">
        <v>0</v>
      </c>
      <c r="F49" s="236">
        <v>0</v>
      </c>
      <c r="G49" s="236">
        <v>0</v>
      </c>
      <c r="H49" s="236">
        <v>0</v>
      </c>
      <c r="I49" s="236">
        <v>0</v>
      </c>
      <c r="J49" s="236">
        <v>0</v>
      </c>
      <c r="K49" s="236">
        <v>0</v>
      </c>
      <c r="L49" s="236">
        <v>0</v>
      </c>
      <c r="M49" s="236">
        <v>0</v>
      </c>
      <c r="N49" s="236">
        <v>0</v>
      </c>
      <c r="O49" s="236">
        <v>0</v>
      </c>
      <c r="P49" s="236">
        <v>0</v>
      </c>
      <c r="Q49" s="236">
        <v>0</v>
      </c>
      <c r="R49" s="236">
        <v>0</v>
      </c>
      <c r="S49" s="236">
        <v>0</v>
      </c>
      <c r="T49" s="236">
        <v>0</v>
      </c>
      <c r="U49" s="236">
        <v>0</v>
      </c>
      <c r="V49" s="236">
        <v>0</v>
      </c>
      <c r="W49" s="236">
        <v>0</v>
      </c>
      <c r="X49" s="236">
        <v>0</v>
      </c>
      <c r="Y49" s="227">
        <v>5600</v>
      </c>
      <c r="Z49" s="227">
        <v>3369</v>
      </c>
      <c r="AA49" s="239">
        <f>Y49-Z49</f>
        <v>2231</v>
      </c>
      <c r="AB49" s="227">
        <v>6475</v>
      </c>
      <c r="AC49" s="227">
        <v>3369</v>
      </c>
      <c r="AD49" s="239">
        <f>AB49-AC49</f>
        <v>3106</v>
      </c>
      <c r="AE49" s="227">
        <v>10325</v>
      </c>
      <c r="AF49" s="227">
        <f>3369+2*2400</f>
        <v>8169</v>
      </c>
      <c r="AG49" s="239">
        <f>AE49-AF49</f>
        <v>2156</v>
      </c>
      <c r="AH49" s="227">
        <f>67200/12</f>
        <v>5600</v>
      </c>
      <c r="AI49" s="227">
        <f>0.5*(3369+2*2400)</f>
        <v>4084.5</v>
      </c>
      <c r="AJ49" s="239">
        <f>AH49-AI49</f>
        <v>1515.5</v>
      </c>
      <c r="AK49" s="119">
        <v>5145</v>
      </c>
      <c r="AL49" s="227">
        <f>0.5*(3369+2*2400)</f>
        <v>4084.5</v>
      </c>
      <c r="AM49" s="239">
        <f>AK49-AL49</f>
        <v>1060.5</v>
      </c>
      <c r="AN49" s="240" cm="1">
        <f t="array" ref="AN49">SUMPRODUCT((D$8:AK$8&lt;&gt;"Margin")*(D$8:AK$8&lt;&gt;"Salary_$600")*D49:AK49)</f>
        <v>33145</v>
      </c>
      <c r="AO49" s="240" cm="1">
        <f t="array" ref="AO49">SUMPRODUCT((D$8:AN$8="Margin")*D49:AN49)</f>
        <v>10069</v>
      </c>
      <c r="AP49" s="415" t="s">
        <v>37</v>
      </c>
      <c r="AQ49" s="242" t="s">
        <v>31</v>
      </c>
      <c r="AR49" s="369" t="s">
        <v>32</v>
      </c>
      <c r="AS49" s="498" t="s">
        <v>84</v>
      </c>
      <c r="AT49" s="202" t="s">
        <v>368</v>
      </c>
    </row>
    <row r="50" spans="1:63">
      <c r="A50" s="235" t="s">
        <v>152</v>
      </c>
      <c r="B50" s="235" t="s">
        <v>94</v>
      </c>
      <c r="C50" s="254" t="s">
        <v>101</v>
      </c>
      <c r="D50" s="236">
        <v>0</v>
      </c>
      <c r="E50" s="236">
        <v>0</v>
      </c>
      <c r="F50" s="236">
        <v>0</v>
      </c>
      <c r="G50" s="236">
        <v>0</v>
      </c>
      <c r="H50" s="236">
        <v>0</v>
      </c>
      <c r="I50" s="236">
        <v>0</v>
      </c>
      <c r="J50" s="236">
        <v>0</v>
      </c>
      <c r="K50" s="236">
        <v>0</v>
      </c>
      <c r="L50" s="236">
        <v>0</v>
      </c>
      <c r="M50" s="236">
        <v>0</v>
      </c>
      <c r="N50" s="236">
        <v>0</v>
      </c>
      <c r="O50" s="236">
        <v>0</v>
      </c>
      <c r="P50" s="236">
        <v>0</v>
      </c>
      <c r="Q50" s="236">
        <v>0</v>
      </c>
      <c r="R50" s="236">
        <v>0</v>
      </c>
      <c r="S50" s="236">
        <v>0</v>
      </c>
      <c r="T50" s="236">
        <v>0</v>
      </c>
      <c r="U50" s="236">
        <v>0</v>
      </c>
      <c r="V50" s="236">
        <v>0</v>
      </c>
      <c r="W50" s="236">
        <v>0</v>
      </c>
      <c r="X50" s="236">
        <v>0</v>
      </c>
      <c r="Y50" s="227">
        <v>0</v>
      </c>
      <c r="Z50" s="227">
        <v>0</v>
      </c>
      <c r="AA50" s="239">
        <v>0</v>
      </c>
      <c r="AB50" s="227">
        <v>0</v>
      </c>
      <c r="AC50" s="227">
        <v>0</v>
      </c>
      <c r="AD50" s="239">
        <v>0</v>
      </c>
      <c r="AE50" s="227">
        <v>0</v>
      </c>
      <c r="AF50" s="227">
        <v>0</v>
      </c>
      <c r="AG50" s="239">
        <v>0</v>
      </c>
      <c r="AH50" s="227">
        <f>100000/12</f>
        <v>8333.3333333333339</v>
      </c>
      <c r="AI50" s="227">
        <f>0.5*(3369+2*2400)</f>
        <v>4084.5</v>
      </c>
      <c r="AJ50" s="239">
        <f>AH50-AI50</f>
        <v>4248.8333333333339</v>
      </c>
      <c r="AK50" s="119">
        <v>7070</v>
      </c>
      <c r="AL50" s="227">
        <f>0.5*(3369+2*2400)</f>
        <v>4084.5</v>
      </c>
      <c r="AM50" s="239">
        <f>AK50-AL50</f>
        <v>2985.5</v>
      </c>
      <c r="AN50" s="240" cm="1">
        <f t="array" ref="AN50">SUMPRODUCT((D$8:AK$8&lt;&gt;"Margin")*(D$8:AK$8&lt;&gt;"Salary_$600")*D50:AK50)</f>
        <v>15403.333333333334</v>
      </c>
      <c r="AO50" s="240" cm="1">
        <f t="array" ref="AO50">SUMPRODUCT((D$8:AN$8="Margin")*D50:AN50)</f>
        <v>7234.3333333333339</v>
      </c>
      <c r="AP50" s="415" t="s">
        <v>37</v>
      </c>
      <c r="AQ50" s="242" t="s">
        <v>31</v>
      </c>
      <c r="AR50" s="369" t="s">
        <v>32</v>
      </c>
      <c r="AS50" s="498" t="s">
        <v>84</v>
      </c>
      <c r="AT50" s="202"/>
    </row>
    <row r="51" spans="1:63">
      <c r="A51" s="235" t="s">
        <v>369</v>
      </c>
      <c r="B51" s="235" t="s">
        <v>94</v>
      </c>
      <c r="C51" s="254" t="s">
        <v>95</v>
      </c>
      <c r="D51" s="236"/>
      <c r="F51" s="223"/>
      <c r="G51" s="237"/>
      <c r="I51" s="225"/>
      <c r="J51" s="236"/>
      <c r="K51" s="238"/>
      <c r="L51" s="225"/>
      <c r="M51" s="237"/>
      <c r="N51" s="227"/>
      <c r="O51" s="239"/>
      <c r="P51" s="227"/>
      <c r="Q51" s="227"/>
      <c r="R51" s="239"/>
      <c r="S51" s="227"/>
      <c r="T51" s="227"/>
      <c r="U51" s="239"/>
      <c r="V51" s="227"/>
      <c r="W51" s="227"/>
      <c r="X51" s="239"/>
      <c r="Y51" s="227"/>
      <c r="Z51" s="227"/>
      <c r="AA51" s="239"/>
      <c r="AB51" s="227"/>
      <c r="AC51" s="227"/>
      <c r="AD51" s="239"/>
      <c r="AE51" s="227"/>
      <c r="AF51" s="227"/>
      <c r="AG51" s="239"/>
      <c r="AH51" s="227">
        <v>7000</v>
      </c>
      <c r="AI51" s="227"/>
      <c r="AJ51" s="239"/>
      <c r="AK51" s="227"/>
      <c r="AL51" s="227"/>
      <c r="AM51" s="239"/>
      <c r="AN51" s="240" cm="1">
        <f t="array" ref="AN51">SUMPRODUCT((D$8:AK$8&lt;&gt;"Margin")*(D$8:AK$8&lt;&gt;"Salary_$600")*D51:AK51)</f>
        <v>7000</v>
      </c>
      <c r="AO51" s="240" cm="1">
        <f t="array" ref="AO51">SUMPRODUCT((D$8:AN$8="Margin")*D51:AN51)</f>
        <v>0</v>
      </c>
      <c r="AP51" s="415" t="s">
        <v>370</v>
      </c>
      <c r="AQ51" s="242" t="s">
        <v>31</v>
      </c>
      <c r="AR51" s="369" t="s">
        <v>32</v>
      </c>
      <c r="AS51" s="498" t="s">
        <v>84</v>
      </c>
      <c r="AT51" s="202"/>
    </row>
    <row r="52" spans="1:63">
      <c r="A52" s="235" t="s">
        <v>155</v>
      </c>
      <c r="B52" s="235" t="s">
        <v>94</v>
      </c>
      <c r="C52" s="235" t="s">
        <v>95</v>
      </c>
      <c r="D52" s="248">
        <v>7050</v>
      </c>
      <c r="F52" s="223">
        <v>2429</v>
      </c>
      <c r="G52" s="251">
        <v>7050</v>
      </c>
      <c r="I52" s="225">
        <v>2429</v>
      </c>
      <c r="J52" s="248">
        <v>7050</v>
      </c>
      <c r="K52" s="238">
        <v>4621</v>
      </c>
      <c r="L52" s="225">
        <f>J52-K52</f>
        <v>2429</v>
      </c>
      <c r="M52" s="251">
        <v>7050</v>
      </c>
      <c r="N52" s="227">
        <v>4818</v>
      </c>
      <c r="O52" s="239">
        <v>2182</v>
      </c>
      <c r="P52" s="249">
        <v>7050</v>
      </c>
      <c r="Q52" s="227">
        <v>4818</v>
      </c>
      <c r="R52" s="239">
        <v>2182</v>
      </c>
      <c r="S52" s="249">
        <v>7050</v>
      </c>
      <c r="T52" s="227">
        <v>4818</v>
      </c>
      <c r="U52" s="239">
        <v>2182</v>
      </c>
      <c r="V52" s="249">
        <v>7050</v>
      </c>
      <c r="W52" s="227">
        <v>4818</v>
      </c>
      <c r="X52" s="239">
        <v>2182</v>
      </c>
      <c r="Y52" s="249">
        <v>7050</v>
      </c>
      <c r="Z52" s="227">
        <v>4818</v>
      </c>
      <c r="AA52" s="239">
        <v>2182</v>
      </c>
      <c r="AB52" s="119">
        <v>7000</v>
      </c>
      <c r="AC52" s="227">
        <v>4818</v>
      </c>
      <c r="AD52" s="239">
        <v>2182</v>
      </c>
      <c r="AE52" s="250">
        <v>7000</v>
      </c>
      <c r="AF52" s="227">
        <v>4818</v>
      </c>
      <c r="AG52" s="239">
        <v>2182</v>
      </c>
      <c r="AH52" s="250">
        <v>7000</v>
      </c>
      <c r="AI52" s="227">
        <v>4818</v>
      </c>
      <c r="AJ52" s="239">
        <v>2182</v>
      </c>
      <c r="AK52" s="250">
        <v>7000</v>
      </c>
      <c r="AL52" s="227">
        <v>4818</v>
      </c>
      <c r="AM52" s="239">
        <v>2182</v>
      </c>
      <c r="AN52" s="240" cm="1">
        <f t="array" ref="AN52">SUMPRODUCT((D$8:AK$8&lt;&gt;"Margin")*(D$8:AK$8&lt;&gt;"Salary_$600")*D52:AK52)</f>
        <v>84400</v>
      </c>
      <c r="AO52" s="240" cm="1">
        <f t="array" ref="AO52">SUMPRODUCT((D$8:AN$8="Margin")*D52:AN52)</f>
        <v>26925</v>
      </c>
      <c r="AP52" s="415" t="s">
        <v>156</v>
      </c>
      <c r="AQ52" s="242" t="s">
        <v>31</v>
      </c>
      <c r="AR52" s="369" t="s">
        <v>157</v>
      </c>
      <c r="AS52" s="498" t="s">
        <v>84</v>
      </c>
      <c r="AT52" s="157"/>
    </row>
    <row r="53" spans="1:63" ht="15">
      <c r="A53" s="220" t="s">
        <v>371</v>
      </c>
      <c r="B53" s="221" t="s">
        <v>94</v>
      </c>
      <c r="C53" s="221" t="s">
        <v>101</v>
      </c>
      <c r="D53" s="222">
        <v>0</v>
      </c>
      <c r="E53" s="225"/>
      <c r="F53" s="223">
        <v>0</v>
      </c>
      <c r="G53" s="224">
        <v>0</v>
      </c>
      <c r="I53" s="225">
        <v>0</v>
      </c>
      <c r="J53" s="222">
        <v>0</v>
      </c>
      <c r="K53" s="226">
        <v>0</v>
      </c>
      <c r="L53" s="223">
        <v>0</v>
      </c>
      <c r="M53" s="224">
        <v>0</v>
      </c>
      <c r="N53" s="227">
        <v>0</v>
      </c>
      <c r="O53" s="228">
        <v>0</v>
      </c>
      <c r="P53" s="229">
        <v>0</v>
      </c>
      <c r="Q53" s="227">
        <v>0</v>
      </c>
      <c r="R53" s="228">
        <v>0</v>
      </c>
      <c r="S53" s="229">
        <v>0</v>
      </c>
      <c r="T53" s="227">
        <v>0</v>
      </c>
      <c r="U53" s="228"/>
      <c r="V53" s="229">
        <v>2000</v>
      </c>
      <c r="W53" s="227"/>
      <c r="X53" s="228">
        <v>800</v>
      </c>
      <c r="Y53" s="229">
        <v>0</v>
      </c>
      <c r="Z53" s="227"/>
      <c r="AA53" s="228"/>
      <c r="AB53" s="229">
        <v>0</v>
      </c>
      <c r="AC53" s="227"/>
      <c r="AD53" s="228"/>
      <c r="AE53" s="229">
        <v>0</v>
      </c>
      <c r="AF53" s="229"/>
      <c r="AG53" s="229"/>
      <c r="AH53" s="229">
        <v>0</v>
      </c>
      <c r="AI53" s="229"/>
      <c r="AJ53" s="229"/>
      <c r="AK53" s="229">
        <v>0</v>
      </c>
      <c r="AL53" s="229"/>
      <c r="AM53" s="229"/>
      <c r="AN53" s="230" cm="1">
        <f t="array" ref="AN53">SUMPRODUCT((D$8:AK$8&lt;&gt;"Margin")*(D$8:AK$8&lt;&gt;"Salary_$600")*D53:AK53)</f>
        <v>2000</v>
      </c>
      <c r="AO53" s="230" cm="1">
        <f t="array" ref="AO53">SUMPRODUCT((D$8:AN$8="Margin")*D53:AN53)</f>
        <v>800</v>
      </c>
      <c r="AP53" s="415" t="s">
        <v>344</v>
      </c>
      <c r="AQ53" s="231"/>
      <c r="AR53" s="369" t="s">
        <v>160</v>
      </c>
      <c r="AS53" s="498" t="s">
        <v>84</v>
      </c>
      <c r="AT53" s="366"/>
      <c r="AU53" s="232"/>
      <c r="AV53" s="232"/>
      <c r="AW53" s="232"/>
      <c r="AX53" s="232"/>
      <c r="AY53" s="232"/>
      <c r="AZ53" s="232"/>
      <c r="BA53" s="232"/>
      <c r="BB53" s="232"/>
      <c r="BC53" s="232"/>
      <c r="BD53" s="232"/>
      <c r="BE53" s="232"/>
      <c r="BF53" s="232"/>
      <c r="BG53" s="232"/>
      <c r="BH53" s="232"/>
      <c r="BI53" s="232"/>
      <c r="BJ53" s="232"/>
      <c r="BK53" s="233"/>
    </row>
    <row r="54" spans="1:63">
      <c r="A54" s="235" t="s">
        <v>372</v>
      </c>
      <c r="B54" s="235" t="s">
        <v>94</v>
      </c>
      <c r="C54" s="235" t="s">
        <v>101</v>
      </c>
      <c r="D54" s="248">
        <v>0</v>
      </c>
      <c r="F54" s="223"/>
      <c r="G54" s="251">
        <v>0</v>
      </c>
      <c r="I54" s="225"/>
      <c r="J54" s="248">
        <v>0</v>
      </c>
      <c r="K54" s="238"/>
      <c r="L54" s="225"/>
      <c r="M54" s="251">
        <v>0</v>
      </c>
      <c r="N54" s="227"/>
      <c r="O54" s="239"/>
      <c r="P54" s="249">
        <v>0</v>
      </c>
      <c r="Q54" s="227"/>
      <c r="R54" s="239"/>
      <c r="S54" s="249">
        <v>0</v>
      </c>
      <c r="T54" s="227"/>
      <c r="U54" s="239"/>
      <c r="V54" s="249">
        <v>0</v>
      </c>
      <c r="W54" s="227"/>
      <c r="X54" s="239"/>
      <c r="Y54" s="249">
        <v>0</v>
      </c>
      <c r="Z54" s="227"/>
      <c r="AA54" s="239"/>
      <c r="AB54" s="119">
        <v>0</v>
      </c>
      <c r="AC54" s="227"/>
      <c r="AD54" s="239"/>
      <c r="AE54" s="119">
        <v>0</v>
      </c>
      <c r="AF54" s="227"/>
      <c r="AG54" s="239"/>
      <c r="AH54" s="227">
        <v>10000</v>
      </c>
      <c r="AI54" s="227"/>
      <c r="AJ54" s="227">
        <f>AH54*0.4</f>
        <v>4000</v>
      </c>
      <c r="AK54" s="227">
        <v>0</v>
      </c>
      <c r="AL54" s="227"/>
      <c r="AM54" s="227">
        <f>AK54*0.4</f>
        <v>0</v>
      </c>
      <c r="AN54" s="240" cm="1">
        <f t="array" ref="AN54">SUMPRODUCT((D$8:AK$8&lt;&gt;"Margin")*(D$8:AK$8&lt;&gt;"Salary_$600")*D54:AK54)</f>
        <v>10000</v>
      </c>
      <c r="AO54" s="240" cm="1">
        <f t="array" ref="AO54">SUMPRODUCT((D$8:AN$8="Margin")*D54:AN54)</f>
        <v>4000</v>
      </c>
      <c r="AP54" s="415" t="s">
        <v>373</v>
      </c>
      <c r="AQ54" s="242" t="s">
        <v>31</v>
      </c>
      <c r="AR54" s="369" t="s">
        <v>160</v>
      </c>
      <c r="AS54" s="498" t="s">
        <v>84</v>
      </c>
      <c r="AT54" s="157"/>
    </row>
    <row r="55" spans="1:63">
      <c r="A55" s="235" t="s">
        <v>374</v>
      </c>
      <c r="B55" s="235" t="s">
        <v>94</v>
      </c>
      <c r="C55" s="235" t="s">
        <v>101</v>
      </c>
      <c r="D55" s="248">
        <v>0</v>
      </c>
      <c r="F55" s="223"/>
      <c r="G55" s="251">
        <v>0</v>
      </c>
      <c r="I55" s="225"/>
      <c r="J55" s="248">
        <v>0</v>
      </c>
      <c r="K55" s="238"/>
      <c r="L55" s="225"/>
      <c r="M55" s="251">
        <v>0</v>
      </c>
      <c r="N55" s="227"/>
      <c r="O55" s="239"/>
      <c r="P55" s="249">
        <v>0</v>
      </c>
      <c r="Q55" s="227"/>
      <c r="R55" s="239"/>
      <c r="S55" s="249">
        <v>0</v>
      </c>
      <c r="T55" s="227"/>
      <c r="U55" s="239"/>
      <c r="V55" s="249">
        <v>0</v>
      </c>
      <c r="W55" s="227"/>
      <c r="X55" s="239"/>
      <c r="Y55" s="249">
        <v>0</v>
      </c>
      <c r="Z55" s="227"/>
      <c r="AA55" s="239"/>
      <c r="AB55" s="119">
        <v>0</v>
      </c>
      <c r="AC55" s="227"/>
      <c r="AD55" s="239"/>
      <c r="AE55" s="119">
        <v>0</v>
      </c>
      <c r="AF55" s="227"/>
      <c r="AG55" s="239"/>
      <c r="AH55" s="227">
        <v>0</v>
      </c>
      <c r="AI55" s="227"/>
      <c r="AJ55" s="227"/>
      <c r="AK55" s="227">
        <v>13000</v>
      </c>
      <c r="AL55" s="227"/>
      <c r="AM55" s="227">
        <f>AK55*0.4</f>
        <v>5200</v>
      </c>
      <c r="AN55" s="240" cm="1">
        <f t="array" ref="AN55">SUMPRODUCT((D$8:AK$8&lt;&gt;"Margin")*(D$8:AK$8&lt;&gt;"Salary_$600")*D55:AK55)</f>
        <v>13000</v>
      </c>
      <c r="AO55" s="240" cm="1">
        <f t="array" ref="AO55">SUMPRODUCT((D$8:AN$8="Margin")*D55:AN55)</f>
        <v>5200</v>
      </c>
      <c r="AP55" s="415" t="s">
        <v>375</v>
      </c>
      <c r="AQ55" s="242" t="s">
        <v>31</v>
      </c>
      <c r="AR55" s="369" t="s">
        <v>160</v>
      </c>
      <c r="AS55" s="498" t="s">
        <v>84</v>
      </c>
      <c r="AT55" s="157"/>
    </row>
    <row r="56" spans="1:63">
      <c r="A56" s="235" t="s">
        <v>162</v>
      </c>
      <c r="B56" s="235" t="s">
        <v>94</v>
      </c>
      <c r="C56" s="235" t="s">
        <v>95</v>
      </c>
      <c r="D56" s="236">
        <v>16000</v>
      </c>
      <c r="F56" s="223">
        <v>7445</v>
      </c>
      <c r="G56" s="237">
        <v>16000</v>
      </c>
      <c r="I56" s="225">
        <v>7445</v>
      </c>
      <c r="J56" s="236">
        <v>16000</v>
      </c>
      <c r="K56" s="238">
        <v>8555</v>
      </c>
      <c r="L56" s="225">
        <v>7445</v>
      </c>
      <c r="M56" s="237">
        <v>16000</v>
      </c>
      <c r="N56" s="227">
        <v>9026</v>
      </c>
      <c r="O56" s="239">
        <v>6974</v>
      </c>
      <c r="P56" s="227">
        <v>16000</v>
      </c>
      <c r="Q56" s="227">
        <v>9026</v>
      </c>
      <c r="R56" s="239">
        <v>6974</v>
      </c>
      <c r="S56" s="227">
        <v>16000</v>
      </c>
      <c r="T56" s="227">
        <v>9026</v>
      </c>
      <c r="U56" s="239">
        <v>6974</v>
      </c>
      <c r="V56" s="227">
        <v>16000</v>
      </c>
      <c r="W56" s="227">
        <v>9026</v>
      </c>
      <c r="X56" s="239">
        <v>6974</v>
      </c>
      <c r="Y56" s="227">
        <v>16000</v>
      </c>
      <c r="Z56" s="227">
        <v>9026</v>
      </c>
      <c r="AA56" s="239">
        <v>6974</v>
      </c>
      <c r="AB56" s="227">
        <v>16000</v>
      </c>
      <c r="AC56" s="227">
        <v>9026</v>
      </c>
      <c r="AD56" s="239">
        <v>6974</v>
      </c>
      <c r="AE56" s="227">
        <v>16000</v>
      </c>
      <c r="AF56" s="227">
        <v>9026</v>
      </c>
      <c r="AG56" s="239">
        <v>6974</v>
      </c>
      <c r="AH56" s="227">
        <v>16000</v>
      </c>
      <c r="AI56" s="227">
        <v>9026</v>
      </c>
      <c r="AJ56" s="239">
        <v>6974</v>
      </c>
      <c r="AK56" s="227">
        <v>16000</v>
      </c>
      <c r="AL56" s="227">
        <v>9026</v>
      </c>
      <c r="AM56" s="239">
        <v>6974</v>
      </c>
      <c r="AN56" s="240" cm="1">
        <f t="array" ref="AN56">SUMPRODUCT((D$8:AK$8&lt;&gt;"Margin")*(D$8:AK$8&lt;&gt;"Salary_$600")*D56:AK56)</f>
        <v>192000</v>
      </c>
      <c r="AO56" s="240" cm="1">
        <f t="array" ref="AO56">SUMPRODUCT((D$8:AN$8="Margin")*D56:AN56)</f>
        <v>85101</v>
      </c>
      <c r="AP56" s="415" t="s">
        <v>376</v>
      </c>
      <c r="AQ56" s="242" t="s">
        <v>31</v>
      </c>
      <c r="AR56" s="369" t="s">
        <v>164</v>
      </c>
      <c r="AS56" s="498" t="s">
        <v>84</v>
      </c>
      <c r="AT56" s="157"/>
    </row>
    <row r="57" spans="1:63">
      <c r="A57" s="235" t="s">
        <v>167</v>
      </c>
      <c r="B57" s="235" t="s">
        <v>94</v>
      </c>
      <c r="C57" s="235" t="s">
        <v>95</v>
      </c>
      <c r="D57" s="236">
        <v>15500</v>
      </c>
      <c r="F57" s="223">
        <v>5040</v>
      </c>
      <c r="G57" s="237">
        <v>15500</v>
      </c>
      <c r="I57" s="225">
        <v>5040</v>
      </c>
      <c r="J57" s="236">
        <v>15500</v>
      </c>
      <c r="K57" s="238">
        <v>10460</v>
      </c>
      <c r="L57" s="225">
        <v>5040</v>
      </c>
      <c r="M57" s="237">
        <v>15500</v>
      </c>
      <c r="N57" s="227">
        <v>12007</v>
      </c>
      <c r="O57" s="239">
        <v>3493</v>
      </c>
      <c r="P57" s="227">
        <v>15500</v>
      </c>
      <c r="Q57" s="227">
        <v>9964</v>
      </c>
      <c r="R57" s="239">
        <v>5536</v>
      </c>
      <c r="S57" s="227">
        <v>15500</v>
      </c>
      <c r="T57" s="227">
        <v>9964</v>
      </c>
      <c r="U57" s="239">
        <v>5536</v>
      </c>
      <c r="V57" s="227">
        <v>15500</v>
      </c>
      <c r="W57" s="227">
        <v>9964</v>
      </c>
      <c r="X57" s="239">
        <v>5536</v>
      </c>
      <c r="Y57" s="227">
        <v>15500</v>
      </c>
      <c r="Z57" s="227">
        <v>9964</v>
      </c>
      <c r="AA57" s="239">
        <v>5536</v>
      </c>
      <c r="AB57" s="227">
        <v>15500</v>
      </c>
      <c r="AC57" s="227">
        <v>9964</v>
      </c>
      <c r="AD57" s="239">
        <v>5536</v>
      </c>
      <c r="AE57" s="227">
        <v>15500</v>
      </c>
      <c r="AF57" s="227">
        <v>9964</v>
      </c>
      <c r="AG57" s="239">
        <v>5536</v>
      </c>
      <c r="AH57" s="227">
        <v>15500</v>
      </c>
      <c r="AI57" s="227">
        <v>9964</v>
      </c>
      <c r="AJ57" s="239">
        <v>5536</v>
      </c>
      <c r="AK57" s="227">
        <v>15500</v>
      </c>
      <c r="AL57" s="227">
        <v>9964</v>
      </c>
      <c r="AM57" s="239">
        <v>5536</v>
      </c>
      <c r="AN57" s="240" cm="1">
        <f t="array" ref="AN57">SUMPRODUCT((D$8:AK$8&lt;&gt;"Margin")*(D$8:AK$8&lt;&gt;"Salary_$600")*D57:AK57)</f>
        <v>186000</v>
      </c>
      <c r="AO57" s="240" cm="1">
        <f t="array" ref="AO57">SUMPRODUCT((D$8:AN$8="Margin")*D57:AN57)</f>
        <v>62901</v>
      </c>
      <c r="AP57" s="415" t="s">
        <v>376</v>
      </c>
      <c r="AQ57" s="242" t="s">
        <v>31</v>
      </c>
      <c r="AR57" s="369" t="s">
        <v>167</v>
      </c>
      <c r="AS57" s="498" t="s">
        <v>84</v>
      </c>
      <c r="AT57" s="157"/>
    </row>
    <row r="58" spans="1:63" ht="20.25">
      <c r="A58" s="235" t="s">
        <v>377</v>
      </c>
      <c r="B58" s="235" t="s">
        <v>94</v>
      </c>
      <c r="C58" s="235" t="s">
        <v>95</v>
      </c>
      <c r="D58" s="236"/>
      <c r="F58" s="223"/>
      <c r="G58" s="237"/>
      <c r="I58" s="225"/>
      <c r="J58" s="236"/>
      <c r="K58" s="238"/>
      <c r="L58" s="225"/>
      <c r="M58" s="237"/>
      <c r="N58" s="227"/>
      <c r="O58" s="239"/>
      <c r="P58" s="227"/>
      <c r="Q58" s="227"/>
      <c r="R58" s="239"/>
      <c r="S58" s="227"/>
      <c r="T58" s="227"/>
      <c r="U58" s="239"/>
      <c r="V58" s="227"/>
      <c r="W58" s="227"/>
      <c r="X58" s="239"/>
      <c r="Y58" s="227"/>
      <c r="Z58" s="227"/>
      <c r="AA58" s="239"/>
      <c r="AB58" s="227">
        <v>1800</v>
      </c>
      <c r="AC58" s="227">
        <v>1300</v>
      </c>
      <c r="AD58" s="239">
        <f>AB58-AC58</f>
        <v>500</v>
      </c>
      <c r="AE58" s="227">
        <v>1800</v>
      </c>
      <c r="AF58" s="227">
        <v>1300</v>
      </c>
      <c r="AG58" s="239">
        <f>AE58-AF58</f>
        <v>500</v>
      </c>
      <c r="AH58" s="227">
        <v>1800</v>
      </c>
      <c r="AI58" s="227">
        <v>1300</v>
      </c>
      <c r="AJ58" s="239">
        <f>AH58-AI58</f>
        <v>500</v>
      </c>
      <c r="AK58" s="227">
        <v>1800</v>
      </c>
      <c r="AL58" s="227">
        <v>1300</v>
      </c>
      <c r="AM58" s="239">
        <f>AK58-AL58</f>
        <v>500</v>
      </c>
      <c r="AN58" s="240" cm="1">
        <f t="array" ref="AN58">SUMPRODUCT((D$8:AK$8&lt;&gt;"Margin")*(D$8:AK$8&lt;&gt;"Salary_$600")*D58:AK58)</f>
        <v>7200</v>
      </c>
      <c r="AO58" s="240" cm="1">
        <f t="array" ref="AO58">SUMPRODUCT((D$8:AN$8="Margin")*D58:AN58)</f>
        <v>2000</v>
      </c>
      <c r="AP58" s="415" t="s">
        <v>378</v>
      </c>
      <c r="AQ58" s="242" t="s">
        <v>31</v>
      </c>
      <c r="AR58" s="369" t="s">
        <v>167</v>
      </c>
      <c r="AS58" s="498" t="s">
        <v>84</v>
      </c>
      <c r="AT58" s="157"/>
    </row>
    <row r="59" spans="1:63">
      <c r="A59" s="235" t="s">
        <v>168</v>
      </c>
      <c r="B59" s="235" t="s">
        <v>94</v>
      </c>
      <c r="C59" s="235" t="s">
        <v>95</v>
      </c>
      <c r="D59" s="236">
        <v>41975</v>
      </c>
      <c r="F59" s="223">
        <v>22721</v>
      </c>
      <c r="G59" s="237">
        <v>42003</v>
      </c>
      <c r="I59" s="225">
        <v>22721</v>
      </c>
      <c r="J59" s="236">
        <v>41975</v>
      </c>
      <c r="K59" s="238">
        <v>19254</v>
      </c>
      <c r="L59" s="225">
        <v>22721</v>
      </c>
      <c r="M59" s="237">
        <f>41975+24</f>
        <v>41999</v>
      </c>
      <c r="N59" s="227">
        <v>20361</v>
      </c>
      <c r="O59" s="239">
        <v>21614</v>
      </c>
      <c r="P59" s="227">
        <v>41975</v>
      </c>
      <c r="Q59" s="227">
        <v>20361</v>
      </c>
      <c r="R59" s="239">
        <v>21614</v>
      </c>
      <c r="S59" s="227">
        <v>41975</v>
      </c>
      <c r="T59" s="227">
        <v>20361</v>
      </c>
      <c r="U59" s="239">
        <v>21614</v>
      </c>
      <c r="V59" s="227">
        <v>41975</v>
      </c>
      <c r="W59" s="227">
        <v>20361</v>
      </c>
      <c r="X59" s="239">
        <v>21614</v>
      </c>
      <c r="Y59" s="227">
        <v>41975</v>
      </c>
      <c r="Z59" s="227">
        <v>20361</v>
      </c>
      <c r="AA59" s="239">
        <v>21614</v>
      </c>
      <c r="AB59" s="227">
        <v>41975</v>
      </c>
      <c r="AC59" s="227">
        <v>20361</v>
      </c>
      <c r="AD59" s="239">
        <v>21614</v>
      </c>
      <c r="AE59" s="119">
        <v>41975</v>
      </c>
      <c r="AF59" s="227">
        <v>20361</v>
      </c>
      <c r="AG59" s="239">
        <v>21614</v>
      </c>
      <c r="AH59" s="119">
        <v>41975</v>
      </c>
      <c r="AI59" s="227">
        <v>20361</v>
      </c>
      <c r="AJ59" s="239">
        <v>21614</v>
      </c>
      <c r="AK59" s="119">
        <v>41975</v>
      </c>
      <c r="AL59" s="227">
        <v>20361</v>
      </c>
      <c r="AM59" s="239">
        <v>21614</v>
      </c>
      <c r="AN59" s="240" cm="1">
        <f t="array" ref="AN59">SUMPRODUCT((D$8:AK$8&lt;&gt;"Margin")*(D$8:AK$8&lt;&gt;"Salary_$600")*D59:AK59)</f>
        <v>503752</v>
      </c>
      <c r="AO59" s="240" cm="1">
        <f t="array" ref="AO59">SUMPRODUCT((D$8:AN$8="Margin")*D59:AN59)</f>
        <v>262689</v>
      </c>
      <c r="AP59" s="415" t="s">
        <v>379</v>
      </c>
      <c r="AQ59" s="242" t="s">
        <v>31</v>
      </c>
      <c r="AR59" s="369" t="s">
        <v>170</v>
      </c>
      <c r="AS59" s="498" t="s">
        <v>84</v>
      </c>
      <c r="AT59" s="157"/>
    </row>
    <row r="60" spans="1:63" ht="15">
      <c r="A60" s="220" t="s">
        <v>380</v>
      </c>
      <c r="B60" s="221" t="s">
        <v>94</v>
      </c>
      <c r="C60" s="221" t="s">
        <v>95</v>
      </c>
      <c r="D60" s="222">
        <v>12500</v>
      </c>
      <c r="F60" s="223">
        <v>1536</v>
      </c>
      <c r="G60" s="224">
        <v>12500</v>
      </c>
      <c r="I60" s="225">
        <v>1536</v>
      </c>
      <c r="J60" s="222">
        <v>12500</v>
      </c>
      <c r="K60" s="226">
        <v>10964</v>
      </c>
      <c r="L60" s="223">
        <v>1536</v>
      </c>
      <c r="M60" s="224">
        <v>12500</v>
      </c>
      <c r="N60" s="227">
        <v>11852</v>
      </c>
      <c r="O60" s="228">
        <v>648</v>
      </c>
      <c r="P60" s="229">
        <v>12500</v>
      </c>
      <c r="Q60" s="227">
        <v>11852</v>
      </c>
      <c r="R60" s="228">
        <v>648</v>
      </c>
      <c r="S60" s="229">
        <v>12500</v>
      </c>
      <c r="T60" s="227">
        <v>11852</v>
      </c>
      <c r="U60" s="228">
        <v>648</v>
      </c>
      <c r="V60" s="229">
        <v>12500</v>
      </c>
      <c r="W60" s="227">
        <v>11852</v>
      </c>
      <c r="X60" s="228">
        <v>648</v>
      </c>
      <c r="Y60" s="229">
        <v>12500</v>
      </c>
      <c r="Z60" s="227">
        <v>11852</v>
      </c>
      <c r="AA60" s="228">
        <v>648</v>
      </c>
      <c r="AB60" s="229"/>
      <c r="AC60" s="227"/>
      <c r="AD60" s="228"/>
      <c r="AE60" s="229"/>
      <c r="AF60" s="229"/>
      <c r="AG60" s="229"/>
      <c r="AH60" s="229"/>
      <c r="AI60" s="229"/>
      <c r="AJ60" s="229"/>
      <c r="AK60" s="229"/>
      <c r="AL60" s="229"/>
      <c r="AM60" s="229"/>
      <c r="AN60" s="230" cm="1">
        <f t="array" ref="AN60">SUMPRODUCT((D$8:AK$8&lt;&gt;"Margin")*(D$8:AK$8&lt;&gt;"Salary_$600")*D60:AK60)</f>
        <v>100000</v>
      </c>
      <c r="AO60" s="230" cm="1">
        <f t="array" ref="AO60">SUMPRODUCT((D$8:AN$8="Margin")*D60:AN60)</f>
        <v>7848</v>
      </c>
      <c r="AP60" s="415" t="s">
        <v>381</v>
      </c>
      <c r="AQ60" s="231"/>
      <c r="AR60" s="369" t="s">
        <v>173</v>
      </c>
      <c r="AS60" s="498" t="s">
        <v>84</v>
      </c>
      <c r="AT60" s="366"/>
      <c r="AU60" s="232"/>
      <c r="AV60" s="232"/>
      <c r="AW60" s="232"/>
      <c r="AX60" s="232"/>
      <c r="AY60" s="232"/>
      <c r="AZ60" s="232"/>
      <c r="BA60" s="232"/>
      <c r="BB60" s="232"/>
      <c r="BC60" s="232"/>
      <c r="BD60" s="232"/>
      <c r="BE60" s="232"/>
      <c r="BF60" s="232"/>
      <c r="BG60" s="232"/>
      <c r="BH60" s="232"/>
      <c r="BI60" s="232"/>
      <c r="BJ60" s="232"/>
      <c r="BK60" s="233"/>
    </row>
    <row r="61" spans="1:63" ht="15">
      <c r="A61" s="220" t="s">
        <v>382</v>
      </c>
      <c r="B61" s="221" t="s">
        <v>94</v>
      </c>
      <c r="C61" s="221" t="s">
        <v>95</v>
      </c>
      <c r="D61" s="222">
        <v>4166</v>
      </c>
      <c r="F61" s="223">
        <v>-1348</v>
      </c>
      <c r="G61" s="224">
        <v>4166</v>
      </c>
      <c r="I61" s="225">
        <v>-1348</v>
      </c>
      <c r="J61" s="222">
        <v>4166</v>
      </c>
      <c r="K61" s="226">
        <v>5514</v>
      </c>
      <c r="L61" s="223">
        <v>-1348</v>
      </c>
      <c r="M61" s="224">
        <v>4166</v>
      </c>
      <c r="N61" s="227">
        <v>3398</v>
      </c>
      <c r="O61" s="228">
        <f>M61-N61</f>
        <v>768</v>
      </c>
      <c r="P61" s="229">
        <v>4166</v>
      </c>
      <c r="Q61" s="227">
        <v>3398</v>
      </c>
      <c r="R61" s="228">
        <f>P61-Q61</f>
        <v>768</v>
      </c>
      <c r="S61" s="229">
        <v>4166</v>
      </c>
      <c r="T61" s="227">
        <v>3398</v>
      </c>
      <c r="U61" s="228">
        <f>S61-T61</f>
        <v>768</v>
      </c>
      <c r="V61" s="229">
        <v>4166</v>
      </c>
      <c r="W61" s="227">
        <v>3398</v>
      </c>
      <c r="X61" s="228">
        <f>V61-W61</f>
        <v>768</v>
      </c>
      <c r="Y61" s="229">
        <v>4166</v>
      </c>
      <c r="Z61" s="227">
        <v>3398</v>
      </c>
      <c r="AA61" s="228">
        <f>Y61-Z61</f>
        <v>768</v>
      </c>
      <c r="AB61" s="229"/>
      <c r="AC61" s="227"/>
      <c r="AD61" s="228"/>
      <c r="AE61" s="229"/>
      <c r="AF61" s="229"/>
      <c r="AG61" s="229"/>
      <c r="AH61" s="229"/>
      <c r="AI61" s="229"/>
      <c r="AJ61" s="229"/>
      <c r="AK61" s="229"/>
      <c r="AL61" s="229"/>
      <c r="AM61" s="229"/>
      <c r="AN61" s="230" cm="1">
        <f t="array" ref="AN61">SUMPRODUCT((D$8:AK$8&lt;&gt;"Margin")*(D$8:AK$8&lt;&gt;"Salary_$600")*D61:AK61)</f>
        <v>33328</v>
      </c>
      <c r="AO61" s="230" cm="1">
        <f t="array" ref="AO61">SUMPRODUCT((D$8:AN$8="Margin")*D61:AN61)</f>
        <v>-204</v>
      </c>
      <c r="AP61" s="415" t="s">
        <v>381</v>
      </c>
      <c r="AQ61" s="231"/>
      <c r="AR61" s="369" t="s">
        <v>173</v>
      </c>
      <c r="AS61" s="498" t="s">
        <v>84</v>
      </c>
      <c r="AT61" s="366"/>
      <c r="AU61" s="232"/>
      <c r="AV61" s="232"/>
      <c r="AW61" s="232"/>
      <c r="AX61" s="232"/>
      <c r="AY61" s="232"/>
      <c r="AZ61" s="232"/>
      <c r="BA61" s="232"/>
      <c r="BB61" s="232"/>
      <c r="BC61" s="232"/>
      <c r="BD61" s="232"/>
      <c r="BE61" s="232"/>
      <c r="BF61" s="232"/>
      <c r="BG61" s="232"/>
      <c r="BH61" s="232"/>
      <c r="BI61" s="232"/>
      <c r="BJ61" s="232"/>
      <c r="BK61" s="233"/>
    </row>
    <row r="62" spans="1:63">
      <c r="A62" s="235" t="s">
        <v>171</v>
      </c>
      <c r="B62" s="235" t="s">
        <v>94</v>
      </c>
      <c r="C62" s="235" t="s">
        <v>95</v>
      </c>
      <c r="D62" s="236"/>
      <c r="F62" s="223"/>
      <c r="G62" s="237"/>
      <c r="I62" s="225"/>
      <c r="J62" s="236"/>
      <c r="K62" s="238"/>
      <c r="L62" s="225"/>
      <c r="M62" s="237"/>
      <c r="N62" s="227"/>
      <c r="O62" s="239"/>
      <c r="P62" s="227"/>
      <c r="Q62" s="227"/>
      <c r="R62" s="239"/>
      <c r="S62" s="227"/>
      <c r="T62" s="227"/>
      <c r="U62" s="239"/>
      <c r="V62" s="227"/>
      <c r="W62" s="227"/>
      <c r="X62" s="239"/>
      <c r="Y62" s="227"/>
      <c r="Z62" s="227"/>
      <c r="AA62" s="239"/>
      <c r="AB62" s="227">
        <v>16666</v>
      </c>
      <c r="AC62" s="227">
        <v>14464</v>
      </c>
      <c r="AD62" s="239">
        <f>AB62-AC62</f>
        <v>2202</v>
      </c>
      <c r="AE62" s="227">
        <v>16666</v>
      </c>
      <c r="AF62" s="227">
        <v>14464</v>
      </c>
      <c r="AG62" s="239">
        <f>AE62-AF62</f>
        <v>2202</v>
      </c>
      <c r="AH62" s="227">
        <v>16666</v>
      </c>
      <c r="AI62" s="227">
        <v>14464</v>
      </c>
      <c r="AJ62" s="239">
        <f>AH62-AI62</f>
        <v>2202</v>
      </c>
      <c r="AK62" s="227">
        <v>16666</v>
      </c>
      <c r="AL62" s="227">
        <v>14464</v>
      </c>
      <c r="AM62" s="239">
        <f>AK62-AL62</f>
        <v>2202</v>
      </c>
      <c r="AN62" s="240" cm="1">
        <f t="array" ref="AN62">SUMPRODUCT((D$8:AK$8&lt;&gt;"Margin")*(D$8:AK$8&lt;&gt;"Salary_$600")*D62:AK62)</f>
        <v>66664</v>
      </c>
      <c r="AO62" s="240" cm="1">
        <f t="array" ref="AO62">SUMPRODUCT((D$8:AN$8="Margin")*D62:AN62)</f>
        <v>8808</v>
      </c>
      <c r="AP62" s="415" t="s">
        <v>172</v>
      </c>
      <c r="AQ62" s="242" t="s">
        <v>31</v>
      </c>
      <c r="AR62" s="369" t="s">
        <v>173</v>
      </c>
      <c r="AS62" s="498" t="s">
        <v>84</v>
      </c>
      <c r="AT62" s="157"/>
    </row>
    <row r="63" spans="1:63">
      <c r="A63" s="235" t="s">
        <v>174</v>
      </c>
      <c r="B63" s="235" t="s">
        <v>94</v>
      </c>
      <c r="C63" s="235" t="s">
        <v>95</v>
      </c>
      <c r="D63" s="236">
        <v>36400</v>
      </c>
      <c r="F63" s="223">
        <v>17996</v>
      </c>
      <c r="G63" s="237">
        <v>45600</v>
      </c>
      <c r="I63" s="225">
        <v>17996</v>
      </c>
      <c r="J63" s="236">
        <v>45600</v>
      </c>
      <c r="K63" s="238">
        <v>27604</v>
      </c>
      <c r="L63" s="225">
        <v>17996</v>
      </c>
      <c r="M63" s="237">
        <v>45600</v>
      </c>
      <c r="N63" s="227">
        <v>29244</v>
      </c>
      <c r="O63" s="239">
        <v>16356</v>
      </c>
      <c r="P63" s="227">
        <v>45600</v>
      </c>
      <c r="Q63" s="227">
        <v>29244</v>
      </c>
      <c r="R63" s="239">
        <v>16356</v>
      </c>
      <c r="S63" s="227">
        <v>45600</v>
      </c>
      <c r="T63" s="227">
        <v>29244</v>
      </c>
      <c r="U63" s="239">
        <v>16356</v>
      </c>
      <c r="V63" s="227">
        <v>45600</v>
      </c>
      <c r="W63" s="227">
        <v>29244</v>
      </c>
      <c r="X63" s="239">
        <v>16356</v>
      </c>
      <c r="Y63" s="227">
        <v>45600</v>
      </c>
      <c r="Z63" s="227">
        <v>29244</v>
      </c>
      <c r="AA63" s="239">
        <v>16356</v>
      </c>
      <c r="AB63" s="227">
        <v>45600</v>
      </c>
      <c r="AC63" s="227">
        <v>29244</v>
      </c>
      <c r="AD63" s="239">
        <v>16356</v>
      </c>
      <c r="AE63" s="227">
        <v>45600</v>
      </c>
      <c r="AF63" s="227">
        <v>29244</v>
      </c>
      <c r="AG63" s="239">
        <v>16356</v>
      </c>
      <c r="AH63" s="119">
        <f>45600-4600</f>
        <v>41000</v>
      </c>
      <c r="AI63" s="227">
        <v>29244</v>
      </c>
      <c r="AJ63" s="239">
        <v>16356</v>
      </c>
      <c r="AK63" s="119">
        <f>45600-4600</f>
        <v>41000</v>
      </c>
      <c r="AL63" s="227">
        <v>29244</v>
      </c>
      <c r="AM63" s="239">
        <v>16356</v>
      </c>
      <c r="AN63" s="240" cm="1">
        <f t="array" ref="AN63">SUMPRODUCT((D$8:AK$8&lt;&gt;"Margin")*(D$8:AK$8&lt;&gt;"Salary_$600")*D63:AK63)</f>
        <v>528800</v>
      </c>
      <c r="AO63" s="240" cm="1">
        <f t="array" ref="AO63">SUMPRODUCT((D$8:AN$8="Margin")*D63:AN63)</f>
        <v>201192</v>
      </c>
      <c r="AP63" s="415" t="s">
        <v>383</v>
      </c>
      <c r="AQ63" s="242" t="s">
        <v>31</v>
      </c>
      <c r="AR63" s="369" t="s">
        <v>176</v>
      </c>
      <c r="AS63" s="498" t="s">
        <v>84</v>
      </c>
      <c r="AT63" s="157"/>
    </row>
    <row r="64" spans="1:63" s="243" customFormat="1" ht="15">
      <c r="A64" s="220" t="s">
        <v>384</v>
      </c>
      <c r="B64" s="221" t="s">
        <v>94</v>
      </c>
      <c r="C64" s="221" t="s">
        <v>95</v>
      </c>
      <c r="D64" s="222">
        <v>4600</v>
      </c>
      <c r="E64" s="168"/>
      <c r="F64" s="223">
        <v>0</v>
      </c>
      <c r="G64" s="224">
        <v>0</v>
      </c>
      <c r="H64" s="168"/>
      <c r="I64" s="225">
        <v>0</v>
      </c>
      <c r="J64" s="222">
        <v>0</v>
      </c>
      <c r="K64" s="226">
        <v>0</v>
      </c>
      <c r="L64" s="223">
        <v>0</v>
      </c>
      <c r="M64" s="224">
        <v>0</v>
      </c>
      <c r="N64" s="227"/>
      <c r="O64" s="228"/>
      <c r="P64" s="229">
        <v>0</v>
      </c>
      <c r="Q64" s="227"/>
      <c r="R64" s="228"/>
      <c r="S64" s="229">
        <v>0</v>
      </c>
      <c r="T64" s="227"/>
      <c r="U64" s="228"/>
      <c r="V64" s="229">
        <v>0</v>
      </c>
      <c r="W64" s="227"/>
      <c r="X64" s="228"/>
      <c r="Y64" s="229">
        <v>0</v>
      </c>
      <c r="Z64" s="227"/>
      <c r="AA64" s="228"/>
      <c r="AB64" s="229">
        <v>0</v>
      </c>
      <c r="AC64" s="227">
        <v>0</v>
      </c>
      <c r="AD64" s="228">
        <v>0</v>
      </c>
      <c r="AE64" s="229">
        <v>0</v>
      </c>
      <c r="AF64" s="229">
        <v>0</v>
      </c>
      <c r="AG64" s="229">
        <v>0</v>
      </c>
      <c r="AH64" s="229">
        <v>0</v>
      </c>
      <c r="AI64" s="229">
        <v>0</v>
      </c>
      <c r="AJ64" s="229">
        <v>0</v>
      </c>
      <c r="AK64" s="229">
        <v>0</v>
      </c>
      <c r="AL64" s="229">
        <v>0</v>
      </c>
      <c r="AM64" s="229">
        <v>0</v>
      </c>
      <c r="AN64" s="230" cm="1">
        <f t="array" ref="AN64">SUMPRODUCT((D$8:AK$8&lt;&gt;"Margin")*(D$8:AK$8&lt;&gt;"Salary_$600")*D64:AK64)</f>
        <v>4600</v>
      </c>
      <c r="AO64" s="230" cm="1">
        <f t="array" ref="AO64">SUMPRODUCT((D$8:AN$8="Margin")*D64:AN64)</f>
        <v>0</v>
      </c>
      <c r="AP64" s="415" t="s">
        <v>385</v>
      </c>
      <c r="AQ64" s="231"/>
      <c r="AR64" s="369" t="s">
        <v>176</v>
      </c>
      <c r="AS64" s="498" t="s">
        <v>84</v>
      </c>
      <c r="AT64" s="366"/>
      <c r="AU64" s="232"/>
      <c r="AV64" s="232"/>
      <c r="AW64" s="232"/>
      <c r="AX64" s="232"/>
      <c r="AY64" s="232"/>
      <c r="AZ64" s="232"/>
      <c r="BA64" s="232"/>
      <c r="BB64" s="232"/>
      <c r="BC64" s="232"/>
      <c r="BD64" s="232"/>
      <c r="BE64" s="232"/>
      <c r="BF64" s="232"/>
      <c r="BG64" s="232"/>
      <c r="BH64" s="232"/>
      <c r="BI64" s="232"/>
      <c r="BJ64" s="232"/>
      <c r="BK64" s="233"/>
    </row>
    <row r="65" spans="1:63" ht="20.25">
      <c r="A65" s="235" t="s">
        <v>177</v>
      </c>
      <c r="B65" s="235" t="s">
        <v>94</v>
      </c>
      <c r="C65" s="235" t="s">
        <v>95</v>
      </c>
      <c r="D65" s="236">
        <v>5820</v>
      </c>
      <c r="F65" s="223">
        <v>1523</v>
      </c>
      <c r="G65" s="237">
        <v>5080</v>
      </c>
      <c r="I65" s="225">
        <v>1523</v>
      </c>
      <c r="J65" s="236">
        <v>4940</v>
      </c>
      <c r="K65" s="238">
        <v>3417</v>
      </c>
      <c r="L65" s="225">
        <f>J65-K65</f>
        <v>1523</v>
      </c>
      <c r="M65" s="237">
        <v>4980</v>
      </c>
      <c r="N65" s="227">
        <v>3698</v>
      </c>
      <c r="O65" s="239">
        <f>M65-N65</f>
        <v>1282</v>
      </c>
      <c r="P65" s="227">
        <v>4800</v>
      </c>
      <c r="Q65" s="227">
        <v>3698</v>
      </c>
      <c r="R65" s="239">
        <v>1102</v>
      </c>
      <c r="S65" s="227">
        <v>4820</v>
      </c>
      <c r="T65" s="227">
        <v>3698</v>
      </c>
      <c r="U65" s="239">
        <v>1102</v>
      </c>
      <c r="V65" s="227">
        <v>4800</v>
      </c>
      <c r="W65" s="227">
        <v>3698</v>
      </c>
      <c r="X65" s="239">
        <v>1102</v>
      </c>
      <c r="Y65" s="227">
        <v>4800</v>
      </c>
      <c r="Z65" s="227">
        <v>3698</v>
      </c>
      <c r="AA65" s="239">
        <v>1102</v>
      </c>
      <c r="AB65" s="227">
        <v>4800</v>
      </c>
      <c r="AC65" s="227">
        <v>3698</v>
      </c>
      <c r="AD65" s="239">
        <f>AB65-AC65</f>
        <v>1102</v>
      </c>
      <c r="AE65" s="227">
        <v>4640</v>
      </c>
      <c r="AF65" s="227">
        <v>3698</v>
      </c>
      <c r="AG65" s="239">
        <f>AE65-AF65</f>
        <v>942</v>
      </c>
      <c r="AH65" s="227">
        <v>4500</v>
      </c>
      <c r="AI65" s="227">
        <v>3698</v>
      </c>
      <c r="AJ65" s="239">
        <f>AH65-AI65</f>
        <v>802</v>
      </c>
      <c r="AK65" s="227">
        <v>4781</v>
      </c>
      <c r="AL65" s="227">
        <v>3698</v>
      </c>
      <c r="AM65" s="239">
        <f>AK65-AL65</f>
        <v>1083</v>
      </c>
      <c r="AN65" s="240" cm="1">
        <f t="array" ref="AN65">SUMPRODUCT((D$8:AK$8&lt;&gt;"Margin")*(D$8:AK$8&lt;&gt;"Salary_$600")*D65:AK65)</f>
        <v>58761</v>
      </c>
      <c r="AO65" s="240" cm="1">
        <f t="array" ref="AO65">SUMPRODUCT((D$8:AN$8="Margin")*D65:AN65)</f>
        <v>14188</v>
      </c>
      <c r="AP65" s="415" t="s">
        <v>386</v>
      </c>
      <c r="AQ65" s="242" t="s">
        <v>31</v>
      </c>
      <c r="AR65" s="369" t="s">
        <v>179</v>
      </c>
      <c r="AS65" s="498" t="s">
        <v>84</v>
      </c>
      <c r="AT65" s="157"/>
    </row>
    <row r="66" spans="1:63">
      <c r="A66" s="310" t="s">
        <v>181</v>
      </c>
      <c r="B66" s="235"/>
      <c r="C66" s="235"/>
      <c r="D66" s="236"/>
      <c r="F66" s="223"/>
      <c r="G66" s="237"/>
      <c r="I66" s="225"/>
      <c r="J66" s="236"/>
      <c r="K66" s="238"/>
      <c r="L66" s="225"/>
      <c r="M66" s="237"/>
      <c r="N66" s="227"/>
      <c r="O66" s="239"/>
      <c r="P66" s="227"/>
      <c r="Q66" s="227"/>
      <c r="R66" s="239"/>
      <c r="S66" s="227"/>
      <c r="T66" s="227"/>
      <c r="U66" s="239"/>
      <c r="V66" s="227"/>
      <c r="W66" s="227"/>
      <c r="X66" s="239"/>
      <c r="Y66" s="227"/>
      <c r="Z66" s="227"/>
      <c r="AA66" s="239"/>
      <c r="AB66" s="227"/>
      <c r="AC66" s="227"/>
      <c r="AD66" s="239"/>
      <c r="AE66" s="227"/>
      <c r="AF66" s="227"/>
      <c r="AG66" s="239"/>
      <c r="AH66" s="227"/>
      <c r="AI66" s="227"/>
      <c r="AJ66" s="239"/>
      <c r="AK66" s="227"/>
      <c r="AL66" s="227"/>
      <c r="AM66" s="239"/>
      <c r="AN66" s="240"/>
      <c r="AO66" s="240"/>
      <c r="AP66" s="241"/>
      <c r="AQ66" s="242"/>
      <c r="AR66" s="369"/>
      <c r="AS66" s="498"/>
      <c r="AT66" s="157"/>
    </row>
    <row r="67" spans="1:63">
      <c r="A67" s="235"/>
      <c r="B67" s="235"/>
      <c r="C67" s="235"/>
      <c r="D67" s="236"/>
      <c r="F67" s="223"/>
      <c r="G67" s="237"/>
      <c r="I67" s="225"/>
      <c r="J67" s="236"/>
      <c r="K67" s="238"/>
      <c r="L67" s="225"/>
      <c r="M67" s="237"/>
      <c r="N67" s="227"/>
      <c r="O67" s="239"/>
      <c r="P67" s="227"/>
      <c r="Q67" s="227"/>
      <c r="R67" s="239"/>
      <c r="S67" s="227"/>
      <c r="T67" s="227"/>
      <c r="U67" s="239"/>
      <c r="V67" s="227"/>
      <c r="W67" s="227"/>
      <c r="X67" s="239"/>
      <c r="Y67" s="227"/>
      <c r="Z67" s="227"/>
      <c r="AA67" s="239"/>
      <c r="AB67" s="227"/>
      <c r="AC67" s="227"/>
      <c r="AD67" s="239"/>
      <c r="AE67" s="227"/>
      <c r="AF67" s="227"/>
      <c r="AG67" s="239"/>
      <c r="AH67" s="227"/>
      <c r="AI67" s="227"/>
      <c r="AJ67" s="239"/>
      <c r="AK67" s="227"/>
      <c r="AL67" s="227"/>
      <c r="AM67" s="239"/>
      <c r="AN67" s="240"/>
      <c r="AO67" s="240"/>
      <c r="AP67" s="241"/>
      <c r="AQ67" s="242"/>
      <c r="AR67" s="369"/>
      <c r="AS67" s="498"/>
      <c r="AT67" s="157"/>
    </row>
    <row r="68" spans="1:63" s="168" customFormat="1">
      <c r="AQ68" s="363"/>
      <c r="AR68" s="369"/>
      <c r="AS68" s="498"/>
      <c r="AT68" s="157"/>
    </row>
    <row r="69" spans="1:63" s="260" customFormat="1" ht="18.75">
      <c r="A69" s="235" t="s">
        <v>184</v>
      </c>
      <c r="B69" s="235"/>
      <c r="C69" s="235"/>
      <c r="D69" s="236">
        <f>SUM(D11:D68)</f>
        <v>420557</v>
      </c>
      <c r="E69" s="227"/>
      <c r="F69" s="223">
        <f>SUM(F11:F68)</f>
        <v>212638.04</v>
      </c>
      <c r="G69" s="237">
        <f t="shared" ref="G69:AM69" si="12">SUM(G11:G68)</f>
        <v>501227</v>
      </c>
      <c r="H69" s="227"/>
      <c r="I69" s="225">
        <f t="shared" si="12"/>
        <v>204562.04</v>
      </c>
      <c r="J69" s="236">
        <f t="shared" si="12"/>
        <v>658373</v>
      </c>
      <c r="K69" s="227"/>
      <c r="L69" s="225">
        <f t="shared" si="12"/>
        <v>183066.04</v>
      </c>
      <c r="M69" s="237">
        <f t="shared" si="12"/>
        <v>520730</v>
      </c>
      <c r="N69" s="227"/>
      <c r="O69" s="239">
        <f t="shared" si="12"/>
        <v>152059</v>
      </c>
      <c r="P69" s="227">
        <f t="shared" si="12"/>
        <v>464099</v>
      </c>
      <c r="Q69" s="227"/>
      <c r="R69" s="239">
        <f t="shared" si="12"/>
        <v>207980</v>
      </c>
      <c r="S69" s="227">
        <f t="shared" si="12"/>
        <v>478239</v>
      </c>
      <c r="T69" s="227"/>
      <c r="U69" s="239">
        <f t="shared" si="12"/>
        <v>203640</v>
      </c>
      <c r="V69" s="227">
        <f t="shared" si="12"/>
        <v>515679</v>
      </c>
      <c r="W69" s="227"/>
      <c r="X69" s="239">
        <f t="shared" si="12"/>
        <v>210516</v>
      </c>
      <c r="Y69" s="227">
        <f t="shared" si="12"/>
        <v>454163</v>
      </c>
      <c r="Z69" s="227"/>
      <c r="AA69" s="239">
        <f t="shared" si="12"/>
        <v>219326</v>
      </c>
      <c r="AB69" s="227">
        <f t="shared" si="12"/>
        <v>589509</v>
      </c>
      <c r="AC69" s="227"/>
      <c r="AD69" s="239">
        <f t="shared" si="12"/>
        <v>212915.5</v>
      </c>
      <c r="AE69" s="227">
        <f t="shared" si="12"/>
        <v>635118.80000000005</v>
      </c>
      <c r="AF69" s="227"/>
      <c r="AG69" s="239">
        <f t="shared" si="12"/>
        <v>206321</v>
      </c>
      <c r="AH69" s="227">
        <f t="shared" si="12"/>
        <v>475627.33333333331</v>
      </c>
      <c r="AI69" s="227"/>
      <c r="AJ69" s="239">
        <f t="shared" si="12"/>
        <v>195650.33333333334</v>
      </c>
      <c r="AK69" s="227">
        <f t="shared" si="12"/>
        <v>637840</v>
      </c>
      <c r="AL69" s="227"/>
      <c r="AM69" s="239">
        <f t="shared" si="12"/>
        <v>181849</v>
      </c>
      <c r="AN69" s="240">
        <f>SUM(AN14:AN68)</f>
        <v>6351162.1333333328</v>
      </c>
      <c r="AO69" s="240">
        <f>SUM(AO14:AO68)</f>
        <v>2619602.9533333331</v>
      </c>
      <c r="AP69" s="241" t="s">
        <v>185</v>
      </c>
      <c r="AQ69" s="242"/>
      <c r="AR69" s="369"/>
      <c r="AS69" s="498"/>
      <c r="AT69" s="157"/>
      <c r="AU69" s="168"/>
      <c r="AV69" s="168"/>
      <c r="AW69" s="168"/>
      <c r="AX69" s="168"/>
      <c r="AY69" s="168"/>
      <c r="AZ69" s="168"/>
      <c r="BA69" s="168"/>
      <c r="BB69" s="168"/>
      <c r="BC69" s="168"/>
      <c r="BD69" s="168"/>
      <c r="BE69" s="168"/>
      <c r="BF69" s="168"/>
      <c r="BG69" s="168"/>
      <c r="BH69" s="168"/>
      <c r="BI69" s="168"/>
      <c r="BJ69" s="168"/>
      <c r="BK69" s="167"/>
    </row>
    <row r="70" spans="1:63" s="168" customFormat="1">
      <c r="A70" s="261" t="s">
        <v>186</v>
      </c>
      <c r="AQ70" s="363"/>
      <c r="AR70" s="369"/>
      <c r="AS70" s="498"/>
      <c r="AT70" s="157"/>
    </row>
    <row r="71" spans="1:63" s="168" customFormat="1">
      <c r="A71" s="262" t="s">
        <v>387</v>
      </c>
      <c r="B71" s="262" t="s">
        <v>94</v>
      </c>
      <c r="C71" s="262" t="s">
        <v>95</v>
      </c>
      <c r="D71" s="263">
        <v>0</v>
      </c>
      <c r="G71" s="263">
        <v>0</v>
      </c>
      <c r="J71" s="263">
        <v>0</v>
      </c>
      <c r="K71" s="258"/>
      <c r="L71" s="257"/>
      <c r="M71" s="263">
        <v>0</v>
      </c>
      <c r="N71" s="258"/>
      <c r="O71" s="259"/>
      <c r="P71" s="263">
        <v>0</v>
      </c>
      <c r="Q71" s="258"/>
      <c r="R71" s="259"/>
      <c r="S71" s="263">
        <v>0</v>
      </c>
      <c r="T71" s="258"/>
      <c r="U71" s="259"/>
      <c r="V71" s="263">
        <v>0</v>
      </c>
      <c r="W71" s="263"/>
      <c r="X71" s="263"/>
      <c r="Y71" s="263">
        <v>0</v>
      </c>
      <c r="Z71" s="263"/>
      <c r="AA71" s="259"/>
      <c r="AB71" s="263">
        <v>0</v>
      </c>
      <c r="AC71" s="263"/>
      <c r="AD71" s="263"/>
      <c r="AE71" s="263"/>
      <c r="AF71" s="263"/>
      <c r="AG71" s="263"/>
      <c r="AH71" s="263">
        <v>0</v>
      </c>
      <c r="AI71" s="263"/>
      <c r="AJ71" s="263"/>
      <c r="AK71" s="263">
        <v>5000</v>
      </c>
      <c r="AL71" s="263"/>
      <c r="AM71" s="263"/>
      <c r="AN71" s="263" cm="1">
        <f t="array" ref="AN71">SUMPRODUCT((D$8:AK$8&lt;&gt;"Margin")*(D$8:AK$8&lt;&gt;"Salary_$600")*D71:AK71)</f>
        <v>5000</v>
      </c>
      <c r="AO71" s="263" cm="1">
        <f t="array" ref="AO71">SUMPRODUCT((D$8:AN$8="Margin")*D71:AN71)</f>
        <v>0</v>
      </c>
      <c r="AP71" s="264" t="s">
        <v>388</v>
      </c>
      <c r="AQ71" s="265" t="s">
        <v>31</v>
      </c>
      <c r="AR71" s="369" t="s">
        <v>102</v>
      </c>
      <c r="AS71" s="498" t="s">
        <v>190</v>
      </c>
      <c r="AT71" s="157"/>
      <c r="BK71" s="167"/>
    </row>
    <row r="72" spans="1:63">
      <c r="A72" s="262" t="s">
        <v>389</v>
      </c>
      <c r="B72" s="262" t="s">
        <v>94</v>
      </c>
      <c r="C72" s="262" t="s">
        <v>95</v>
      </c>
      <c r="D72" s="263">
        <v>0</v>
      </c>
      <c r="G72" s="263">
        <v>0</v>
      </c>
      <c r="J72" s="263">
        <v>0</v>
      </c>
      <c r="K72" s="258"/>
      <c r="L72" s="257"/>
      <c r="M72" s="263">
        <v>0</v>
      </c>
      <c r="N72" s="258"/>
      <c r="O72" s="259"/>
      <c r="P72" s="263">
        <v>0</v>
      </c>
      <c r="Q72" s="258"/>
      <c r="R72" s="259"/>
      <c r="S72" s="263">
        <v>0</v>
      </c>
      <c r="T72" s="258"/>
      <c r="U72" s="259"/>
      <c r="V72" s="263">
        <v>0</v>
      </c>
      <c r="W72" s="263"/>
      <c r="X72" s="263"/>
      <c r="Y72" s="263">
        <v>0</v>
      </c>
      <c r="Z72" s="263"/>
      <c r="AA72" s="259"/>
      <c r="AB72" s="263">
        <v>0</v>
      </c>
      <c r="AC72" s="263"/>
      <c r="AD72" s="263"/>
      <c r="AE72" s="263">
        <v>0</v>
      </c>
      <c r="AF72" s="263"/>
      <c r="AG72" s="263"/>
      <c r="AH72" s="263">
        <v>0</v>
      </c>
      <c r="AI72" s="263"/>
      <c r="AJ72" s="263"/>
      <c r="AK72" s="263"/>
      <c r="AL72" s="263"/>
      <c r="AM72" s="263">
        <f t="shared" ref="AM72:AM76" si="13">AK72*0.4</f>
        <v>0</v>
      </c>
      <c r="AN72" s="263" cm="1">
        <f t="array" ref="AN72">SUMPRODUCT((D$8:AK$8&lt;&gt;"Margin")*(D$8:AK$8&lt;&gt;"Salary_$600")*D72:AK72)</f>
        <v>0</v>
      </c>
      <c r="AO72" s="263" cm="1">
        <f t="array" ref="AO72">SUMPRODUCT((D$8:AN$8="Margin")*D72:AN72)</f>
        <v>0</v>
      </c>
      <c r="AP72" s="262" t="s">
        <v>390</v>
      </c>
      <c r="AQ72" s="266">
        <v>0</v>
      </c>
      <c r="AR72" s="369" t="s">
        <v>167</v>
      </c>
      <c r="AS72" s="498" t="s">
        <v>190</v>
      </c>
      <c r="AT72" s="157"/>
    </row>
    <row r="73" spans="1:63">
      <c r="A73" s="262" t="s">
        <v>391</v>
      </c>
      <c r="B73" s="262" t="s">
        <v>94</v>
      </c>
      <c r="C73" s="262" t="s">
        <v>95</v>
      </c>
      <c r="D73" s="263">
        <v>0</v>
      </c>
      <c r="G73" s="263">
        <v>0</v>
      </c>
      <c r="J73" s="263">
        <v>0</v>
      </c>
      <c r="K73" s="258"/>
      <c r="L73" s="257"/>
      <c r="M73" s="263">
        <v>0</v>
      </c>
      <c r="N73" s="258"/>
      <c r="O73" s="259"/>
      <c r="P73" s="263">
        <v>0</v>
      </c>
      <c r="Q73" s="258"/>
      <c r="R73" s="259"/>
      <c r="S73" s="263">
        <v>0</v>
      </c>
      <c r="T73" s="258"/>
      <c r="U73" s="259"/>
      <c r="V73" s="263">
        <v>0</v>
      </c>
      <c r="W73" s="263"/>
      <c r="X73" s="263"/>
      <c r="Y73" s="263">
        <v>0</v>
      </c>
      <c r="Z73" s="263"/>
      <c r="AA73" s="259"/>
      <c r="AB73" s="263">
        <v>0</v>
      </c>
      <c r="AC73" s="263"/>
      <c r="AD73" s="263"/>
      <c r="AE73" s="263">
        <v>0</v>
      </c>
      <c r="AF73" s="263"/>
      <c r="AG73" s="263"/>
      <c r="AH73" s="263">
        <v>0</v>
      </c>
      <c r="AI73" s="263"/>
      <c r="AJ73" s="263"/>
      <c r="AK73" s="263">
        <v>0</v>
      </c>
      <c r="AL73" s="263"/>
      <c r="AM73" s="263">
        <f t="shared" si="13"/>
        <v>0</v>
      </c>
      <c r="AN73" s="263" cm="1">
        <f t="array" ref="AN73">SUMPRODUCT((D$8:AK$8&lt;&gt;"Margin")*(D$8:AK$8&lt;&gt;"Salary_$600")*D73:AK73)</f>
        <v>0</v>
      </c>
      <c r="AO73" s="263" cm="1">
        <f t="array" ref="AO73">SUMPRODUCT((D$8:AN$8="Margin")*D73:AN73)</f>
        <v>0</v>
      </c>
      <c r="AP73" s="262" t="s">
        <v>390</v>
      </c>
      <c r="AQ73" s="266">
        <v>0</v>
      </c>
      <c r="AR73" s="369" t="s">
        <v>167</v>
      </c>
      <c r="AS73" s="498" t="s">
        <v>190</v>
      </c>
      <c r="AT73" s="157"/>
    </row>
    <row r="74" spans="1:63">
      <c r="A74" s="262" t="s">
        <v>392</v>
      </c>
      <c r="B74" s="262" t="s">
        <v>94</v>
      </c>
      <c r="C74" s="262" t="s">
        <v>95</v>
      </c>
      <c r="D74" s="263">
        <v>0</v>
      </c>
      <c r="G74" s="263">
        <v>0</v>
      </c>
      <c r="J74" s="263">
        <v>0</v>
      </c>
      <c r="K74" s="258"/>
      <c r="L74" s="257"/>
      <c r="M74" s="263">
        <v>0</v>
      </c>
      <c r="N74" s="258"/>
      <c r="O74" s="259"/>
      <c r="P74" s="263">
        <v>0</v>
      </c>
      <c r="Q74" s="258"/>
      <c r="R74" s="259"/>
      <c r="S74" s="263">
        <v>0</v>
      </c>
      <c r="T74" s="258"/>
      <c r="U74" s="259"/>
      <c r="V74" s="263">
        <v>0</v>
      </c>
      <c r="W74" s="263"/>
      <c r="X74" s="263"/>
      <c r="Y74" s="263">
        <v>0</v>
      </c>
      <c r="Z74" s="263"/>
      <c r="AA74" s="259"/>
      <c r="AB74" s="263">
        <v>0</v>
      </c>
      <c r="AC74" s="263"/>
      <c r="AD74" s="263"/>
      <c r="AE74" s="263">
        <v>0</v>
      </c>
      <c r="AF74" s="263"/>
      <c r="AG74" s="263"/>
      <c r="AH74" s="263">
        <v>0</v>
      </c>
      <c r="AI74" s="263"/>
      <c r="AJ74" s="263"/>
      <c r="AK74" s="263"/>
      <c r="AL74" s="263"/>
      <c r="AM74" s="263">
        <f t="shared" si="13"/>
        <v>0</v>
      </c>
      <c r="AN74" s="263" cm="1">
        <f t="array" ref="AN74">SUMPRODUCT((D$8:AK$8&lt;&gt;"Margin")*(D$8:AK$8&lt;&gt;"Salary_$600")*D74:AK74)</f>
        <v>0</v>
      </c>
      <c r="AO74" s="263" cm="1">
        <f t="array" ref="AO74">SUMPRODUCT((D$8:AN$8="Margin")*D74:AN74)</f>
        <v>0</v>
      </c>
      <c r="AP74" s="262" t="s">
        <v>393</v>
      </c>
      <c r="AQ74" s="266">
        <v>0</v>
      </c>
      <c r="AR74" s="369" t="s">
        <v>394</v>
      </c>
      <c r="AS74" s="498" t="s">
        <v>190</v>
      </c>
      <c r="AT74" s="157"/>
    </row>
    <row r="75" spans="1:63">
      <c r="A75" s="262" t="s">
        <v>395</v>
      </c>
      <c r="B75" s="262" t="s">
        <v>94</v>
      </c>
      <c r="C75" s="262" t="s">
        <v>101</v>
      </c>
      <c r="D75" s="263">
        <v>0</v>
      </c>
      <c r="G75" s="263">
        <v>0</v>
      </c>
      <c r="J75" s="263">
        <v>0</v>
      </c>
      <c r="K75" s="258"/>
      <c r="L75" s="257"/>
      <c r="M75" s="263">
        <v>0</v>
      </c>
      <c r="N75" s="258"/>
      <c r="O75" s="259"/>
      <c r="P75" s="263">
        <v>0</v>
      </c>
      <c r="Q75" s="258"/>
      <c r="R75" s="259"/>
      <c r="S75" s="263">
        <v>0</v>
      </c>
      <c r="T75" s="258"/>
      <c r="U75" s="259"/>
      <c r="V75" s="263">
        <v>0</v>
      </c>
      <c r="W75" s="263"/>
      <c r="X75" s="263"/>
      <c r="Y75" s="263">
        <v>0</v>
      </c>
      <c r="Z75" s="263"/>
      <c r="AA75" s="259"/>
      <c r="AB75" s="263">
        <v>0</v>
      </c>
      <c r="AC75" s="263"/>
      <c r="AD75" s="263"/>
      <c r="AE75" s="263">
        <v>0</v>
      </c>
      <c r="AF75" s="263"/>
      <c r="AG75" s="263"/>
      <c r="AH75" s="263">
        <v>0</v>
      </c>
      <c r="AI75" s="263"/>
      <c r="AJ75" s="263"/>
      <c r="AK75" s="263">
        <v>0</v>
      </c>
      <c r="AL75" s="263"/>
      <c r="AM75" s="263">
        <f t="shared" si="13"/>
        <v>0</v>
      </c>
      <c r="AN75" s="263" cm="1">
        <f t="array" ref="AN75">SUMPRODUCT((D$8:AK$8&lt;&gt;"Margin")*(D$8:AK$8&lt;&gt;"Salary_$600")*D75:AK75)</f>
        <v>0</v>
      </c>
      <c r="AO75" s="263" cm="1">
        <f t="array" ref="AO75">SUMPRODUCT((D$8:AN$8="Margin")*D75:AN75)</f>
        <v>0</v>
      </c>
      <c r="AP75" s="262" t="s">
        <v>396</v>
      </c>
      <c r="AQ75" s="266">
        <v>0</v>
      </c>
      <c r="AR75" s="369" t="s">
        <v>397</v>
      </c>
      <c r="AS75" s="498" t="s">
        <v>190</v>
      </c>
      <c r="AT75" s="157"/>
    </row>
    <row r="76" spans="1:63" s="267" customFormat="1">
      <c r="A76" s="262" t="s">
        <v>398</v>
      </c>
      <c r="B76" s="262" t="s">
        <v>94</v>
      </c>
      <c r="C76" s="262" t="s">
        <v>101</v>
      </c>
      <c r="D76" s="263">
        <v>0</v>
      </c>
      <c r="E76" s="168"/>
      <c r="F76" s="168"/>
      <c r="G76" s="263">
        <v>0</v>
      </c>
      <c r="H76" s="168"/>
      <c r="I76" s="168"/>
      <c r="J76" s="263">
        <v>0</v>
      </c>
      <c r="K76" s="258"/>
      <c r="L76" s="257"/>
      <c r="M76" s="263">
        <v>0</v>
      </c>
      <c r="N76" s="258"/>
      <c r="O76" s="259"/>
      <c r="P76" s="263">
        <v>0</v>
      </c>
      <c r="Q76" s="258"/>
      <c r="R76" s="259"/>
      <c r="S76" s="263">
        <v>0</v>
      </c>
      <c r="T76" s="258"/>
      <c r="U76" s="259"/>
      <c r="V76" s="263">
        <v>0</v>
      </c>
      <c r="W76" s="263"/>
      <c r="X76" s="263"/>
      <c r="Y76" s="263">
        <v>0</v>
      </c>
      <c r="Z76" s="263"/>
      <c r="AA76" s="259"/>
      <c r="AB76" s="263">
        <v>0</v>
      </c>
      <c r="AC76" s="263"/>
      <c r="AD76" s="263"/>
      <c r="AE76" s="263">
        <v>0</v>
      </c>
      <c r="AF76" s="263"/>
      <c r="AG76" s="263"/>
      <c r="AH76" s="263">
        <v>0</v>
      </c>
      <c r="AI76" s="263"/>
      <c r="AJ76" s="263"/>
      <c r="AK76" s="263">
        <v>0</v>
      </c>
      <c r="AL76" s="263"/>
      <c r="AM76" s="263">
        <f t="shared" si="13"/>
        <v>0</v>
      </c>
      <c r="AN76" s="263" cm="1">
        <f t="array" ref="AN76">SUMPRODUCT((D$8:AK$8&lt;&gt;"Margin")*(D$8:AK$8&lt;&gt;"Salary_$600")*D76:AK76)</f>
        <v>0</v>
      </c>
      <c r="AO76" s="263" cm="1">
        <f t="array" ref="AO76">SUMPRODUCT((D$8:AN$8="Margin")*D76:AN76)</f>
        <v>0</v>
      </c>
      <c r="AP76" s="262" t="s">
        <v>396</v>
      </c>
      <c r="AQ76" s="266">
        <v>0</v>
      </c>
      <c r="AR76" s="369" t="s">
        <v>397</v>
      </c>
      <c r="AS76" s="498" t="s">
        <v>190</v>
      </c>
      <c r="AT76" s="157"/>
      <c r="AU76" s="168"/>
      <c r="AV76" s="168"/>
      <c r="AW76" s="168"/>
      <c r="AX76" s="168"/>
      <c r="AY76" s="168"/>
      <c r="AZ76" s="168"/>
      <c r="BA76" s="168"/>
      <c r="BB76" s="168"/>
      <c r="BC76" s="168"/>
      <c r="BD76" s="168"/>
      <c r="BE76" s="168"/>
      <c r="BF76" s="168"/>
      <c r="BG76" s="168"/>
      <c r="BH76" s="168"/>
      <c r="BI76" s="168"/>
      <c r="BJ76" s="168"/>
      <c r="BK76" s="167"/>
    </row>
    <row r="77" spans="1:63">
      <c r="A77" s="262" t="s">
        <v>192</v>
      </c>
      <c r="B77" s="262" t="s">
        <v>94</v>
      </c>
      <c r="C77" s="262" t="s">
        <v>101</v>
      </c>
      <c r="D77" s="263">
        <v>0</v>
      </c>
      <c r="G77" s="263">
        <v>0</v>
      </c>
      <c r="J77" s="263">
        <v>0</v>
      </c>
      <c r="K77" s="258"/>
      <c r="L77" s="257"/>
      <c r="M77" s="263">
        <v>0</v>
      </c>
      <c r="N77" s="258"/>
      <c r="O77" s="259"/>
      <c r="P77" s="263">
        <v>0</v>
      </c>
      <c r="Q77" s="258"/>
      <c r="R77" s="259"/>
      <c r="S77" s="263">
        <v>0</v>
      </c>
      <c r="T77" s="258"/>
      <c r="U77" s="259"/>
      <c r="V77" s="263">
        <v>0</v>
      </c>
      <c r="W77" s="263"/>
      <c r="X77" s="263"/>
      <c r="Y77" s="263">
        <v>0</v>
      </c>
      <c r="Z77" s="263"/>
      <c r="AA77" s="259"/>
      <c r="AB77" s="263">
        <v>0</v>
      </c>
      <c r="AC77" s="263"/>
      <c r="AD77" s="263"/>
      <c r="AE77" s="263">
        <v>0</v>
      </c>
      <c r="AF77" s="263"/>
      <c r="AG77" s="263"/>
      <c r="AH77" s="263">
        <v>0</v>
      </c>
      <c r="AI77" s="263"/>
      <c r="AJ77" s="263"/>
      <c r="AK77" s="263">
        <v>0</v>
      </c>
      <c r="AL77" s="263"/>
      <c r="AM77" s="263"/>
      <c r="AN77" s="263"/>
      <c r="AO77" s="263"/>
      <c r="AP77" s="264"/>
      <c r="AQ77" s="266"/>
      <c r="AR77" s="369" t="s">
        <v>131</v>
      </c>
      <c r="AS77" s="498" t="s">
        <v>190</v>
      </c>
      <c r="AT77" s="157"/>
    </row>
    <row r="78" spans="1:63">
      <c r="A78" s="262"/>
      <c r="B78" s="262"/>
      <c r="C78" s="262"/>
      <c r="D78" s="263"/>
      <c r="G78" s="263"/>
      <c r="J78" s="263"/>
      <c r="K78" s="258"/>
      <c r="L78" s="257"/>
      <c r="M78" s="263"/>
      <c r="N78" s="258"/>
      <c r="O78" s="259"/>
      <c r="P78" s="263"/>
      <c r="Q78" s="258"/>
      <c r="R78" s="259"/>
      <c r="S78" s="263"/>
      <c r="T78" s="258"/>
      <c r="U78" s="259"/>
      <c r="V78" s="263"/>
      <c r="W78" s="263"/>
      <c r="X78" s="263"/>
      <c r="Y78" s="263"/>
      <c r="Z78" s="263"/>
      <c r="AA78" s="259"/>
      <c r="AB78" s="263"/>
      <c r="AC78" s="263"/>
      <c r="AD78" s="263"/>
      <c r="AE78" s="263"/>
      <c r="AF78" s="263"/>
      <c r="AG78" s="263"/>
      <c r="AH78" s="263"/>
      <c r="AI78" s="263"/>
      <c r="AJ78" s="263"/>
      <c r="AK78" s="263"/>
      <c r="AL78" s="263"/>
      <c r="AM78" s="263"/>
      <c r="AN78" s="263"/>
      <c r="AO78" s="263"/>
      <c r="AP78" s="264"/>
      <c r="AQ78" s="266"/>
      <c r="AR78" s="369"/>
      <c r="AS78" s="498"/>
      <c r="AT78" s="157"/>
    </row>
    <row r="79" spans="1:63">
      <c r="A79" s="261" t="s">
        <v>197</v>
      </c>
      <c r="B79" s="262"/>
      <c r="C79" s="262"/>
      <c r="D79" s="263"/>
      <c r="G79" s="263"/>
      <c r="J79" s="263"/>
      <c r="K79" s="258"/>
      <c r="L79" s="257"/>
      <c r="M79" s="263"/>
      <c r="N79" s="258"/>
      <c r="O79" s="259"/>
      <c r="P79" s="263"/>
      <c r="Q79" s="258"/>
      <c r="R79" s="259"/>
      <c r="S79" s="263"/>
      <c r="T79" s="258"/>
      <c r="U79" s="259"/>
      <c r="V79" s="263"/>
      <c r="W79" s="263"/>
      <c r="X79" s="263"/>
      <c r="Y79" s="263"/>
      <c r="Z79" s="263"/>
      <c r="AA79" s="259"/>
      <c r="AB79" s="263"/>
      <c r="AC79" s="263"/>
      <c r="AD79" s="263"/>
      <c r="AE79" s="263"/>
      <c r="AF79" s="263"/>
      <c r="AG79" s="263"/>
      <c r="AH79" s="263"/>
      <c r="AI79" s="263"/>
      <c r="AJ79" s="263"/>
      <c r="AK79" s="263"/>
      <c r="AL79" s="263"/>
      <c r="AM79" s="263"/>
      <c r="AN79" s="263"/>
      <c r="AO79" s="263"/>
      <c r="AP79" s="264"/>
      <c r="AQ79" s="266"/>
      <c r="AR79" s="369"/>
      <c r="AS79" s="498"/>
      <c r="AT79" s="157"/>
    </row>
    <row r="80" spans="1:63">
      <c r="A80" s="262" t="s">
        <v>198</v>
      </c>
      <c r="B80" s="262" t="s">
        <v>94</v>
      </c>
      <c r="C80" s="262"/>
      <c r="D80" s="263">
        <v>0</v>
      </c>
      <c r="G80" s="263">
        <v>0</v>
      </c>
      <c r="J80" s="263">
        <v>0</v>
      </c>
      <c r="K80" s="258"/>
      <c r="L80" s="257"/>
      <c r="M80" s="263">
        <v>0</v>
      </c>
      <c r="N80" s="258"/>
      <c r="O80" s="259"/>
      <c r="P80" s="263">
        <v>0</v>
      </c>
      <c r="Q80" s="258"/>
      <c r="R80" s="259"/>
      <c r="S80" s="263">
        <v>0</v>
      </c>
      <c r="T80" s="258"/>
      <c r="U80" s="259"/>
      <c r="V80" s="263">
        <v>0</v>
      </c>
      <c r="W80" s="263"/>
      <c r="X80" s="263"/>
      <c r="Y80" s="263">
        <v>0</v>
      </c>
      <c r="Z80" s="263"/>
      <c r="AA80" s="259"/>
      <c r="AB80" s="263">
        <v>0</v>
      </c>
      <c r="AC80" s="263"/>
      <c r="AD80" s="263"/>
      <c r="AE80" s="263">
        <v>0</v>
      </c>
      <c r="AF80" s="263"/>
      <c r="AG80" s="263"/>
      <c r="AH80" s="263">
        <v>0</v>
      </c>
      <c r="AI80" s="263"/>
      <c r="AJ80" s="263"/>
      <c r="AK80" s="263">
        <v>0</v>
      </c>
      <c r="AL80" s="263"/>
      <c r="AM80" s="263"/>
      <c r="AN80" s="263" cm="1">
        <f t="array" ref="AN80">SUMPRODUCT((D$8:AK$8&lt;&gt;"Margin")*(D$8:AK$8&lt;&gt;"Salary_$600")*D80:AK80)</f>
        <v>0</v>
      </c>
      <c r="AO80" s="263" cm="1">
        <f t="array" ref="AO80">SUMPRODUCT((D$8:AN$8="Margin")*D80:AN80)</f>
        <v>0</v>
      </c>
      <c r="AP80" s="264"/>
      <c r="AQ80" s="265" t="s">
        <v>206</v>
      </c>
      <c r="AR80" s="369" t="s">
        <v>201</v>
      </c>
      <c r="AS80" s="498" t="s">
        <v>202</v>
      </c>
      <c r="AT80" s="157"/>
    </row>
    <row r="81" spans="1:62">
      <c r="A81" s="262" t="s">
        <v>399</v>
      </c>
      <c r="B81" s="262" t="s">
        <v>94</v>
      </c>
      <c r="C81" s="262" t="s">
        <v>95</v>
      </c>
      <c r="D81" s="263">
        <v>0</v>
      </c>
      <c r="G81" s="263">
        <v>0</v>
      </c>
      <c r="J81" s="263">
        <v>0</v>
      </c>
      <c r="K81" s="258"/>
      <c r="L81" s="257"/>
      <c r="M81" s="263">
        <v>0</v>
      </c>
      <c r="N81" s="258"/>
      <c r="O81" s="259"/>
      <c r="P81" s="263">
        <v>0</v>
      </c>
      <c r="Q81" s="258"/>
      <c r="R81" s="259"/>
      <c r="S81" s="263">
        <v>0</v>
      </c>
      <c r="T81" s="258"/>
      <c r="U81" s="259"/>
      <c r="V81" s="263">
        <v>0</v>
      </c>
      <c r="W81" s="263"/>
      <c r="X81" s="263"/>
      <c r="Y81" s="263">
        <v>0</v>
      </c>
      <c r="Z81" s="263"/>
      <c r="AA81" s="259"/>
      <c r="AB81" s="263">
        <v>0</v>
      </c>
      <c r="AC81" s="263"/>
      <c r="AD81" s="263"/>
      <c r="AE81" s="263">
        <v>0</v>
      </c>
      <c r="AF81" s="263"/>
      <c r="AG81" s="263"/>
      <c r="AH81" s="263">
        <v>0</v>
      </c>
      <c r="AI81" s="263"/>
      <c r="AJ81" s="263"/>
      <c r="AK81" s="263">
        <v>0</v>
      </c>
      <c r="AL81" s="263"/>
      <c r="AM81" s="263"/>
      <c r="AN81" s="263" cm="1">
        <f t="array" ref="AN81">SUMPRODUCT((D$8:AK$8&lt;&gt;"Margin")*(D$8:AK$8&lt;&gt;"Salary_$600")*D81:AK81)</f>
        <v>0</v>
      </c>
      <c r="AO81" s="263" cm="1">
        <f t="array" ref="AO81">SUMPRODUCT((D$8:AN$8="Margin")*D81:AN81)</f>
        <v>0</v>
      </c>
      <c r="AP81" s="264" t="s">
        <v>400</v>
      </c>
      <c r="AQ81" s="265" t="s">
        <v>206</v>
      </c>
      <c r="AR81" s="369" t="s">
        <v>212</v>
      </c>
      <c r="AS81" s="498" t="s">
        <v>202</v>
      </c>
      <c r="AT81" s="157"/>
    </row>
    <row r="82" spans="1:62">
      <c r="A82" s="262" t="s">
        <v>401</v>
      </c>
      <c r="B82" s="262" t="s">
        <v>94</v>
      </c>
      <c r="C82" s="262" t="s">
        <v>101</v>
      </c>
      <c r="D82" s="263">
        <v>0</v>
      </c>
      <c r="G82" s="263">
        <v>0</v>
      </c>
      <c r="J82" s="263">
        <v>0</v>
      </c>
      <c r="K82" s="258"/>
      <c r="L82" s="257"/>
      <c r="M82" s="263">
        <v>0</v>
      </c>
      <c r="N82" s="258"/>
      <c r="O82" s="259"/>
      <c r="P82" s="263">
        <v>0</v>
      </c>
      <c r="Q82" s="258"/>
      <c r="R82" s="259"/>
      <c r="S82" s="263">
        <v>0</v>
      </c>
      <c r="T82" s="258"/>
      <c r="U82" s="259"/>
      <c r="V82" s="263">
        <v>0</v>
      </c>
      <c r="W82" s="263"/>
      <c r="X82" s="263"/>
      <c r="Y82" s="263">
        <v>0</v>
      </c>
      <c r="Z82" s="263"/>
      <c r="AA82" s="259"/>
      <c r="AB82" s="263">
        <v>0</v>
      </c>
      <c r="AC82" s="263"/>
      <c r="AD82" s="263"/>
      <c r="AE82" s="263">
        <v>0</v>
      </c>
      <c r="AF82" s="263"/>
      <c r="AG82" s="263"/>
      <c r="AH82" s="263">
        <v>0</v>
      </c>
      <c r="AI82" s="263"/>
      <c r="AJ82" s="263"/>
      <c r="AK82" s="263">
        <v>0</v>
      </c>
      <c r="AL82" s="263"/>
      <c r="AM82" s="263"/>
      <c r="AN82" s="263" cm="1">
        <f t="array" ref="AN82">SUMPRODUCT((D$8:AK$8&lt;&gt;"Margin")*(D$8:AK$8&lt;&gt;"Salary_$600")*D82:AK82)</f>
        <v>0</v>
      </c>
      <c r="AO82" s="263" cm="1">
        <f t="array" ref="AO82">SUMPRODUCT((D$8:AN$8="Margin")*D82:AN82)</f>
        <v>0</v>
      </c>
      <c r="AP82" s="264" t="s">
        <v>402</v>
      </c>
      <c r="AQ82" s="266" t="s">
        <v>206</v>
      </c>
      <c r="AR82" s="369" t="s">
        <v>228</v>
      </c>
      <c r="AS82" s="498" t="s">
        <v>202</v>
      </c>
      <c r="AT82" s="157"/>
    </row>
    <row r="83" spans="1:62">
      <c r="A83" s="262" t="s">
        <v>213</v>
      </c>
      <c r="B83" s="262" t="s">
        <v>94</v>
      </c>
      <c r="C83" s="262" t="s">
        <v>101</v>
      </c>
      <c r="D83" s="263">
        <v>0</v>
      </c>
      <c r="G83" s="263">
        <v>0</v>
      </c>
      <c r="J83" s="263">
        <v>0</v>
      </c>
      <c r="K83" s="258"/>
      <c r="L83" s="257"/>
      <c r="M83" s="263">
        <v>0</v>
      </c>
      <c r="N83" s="258"/>
      <c r="O83" s="259"/>
      <c r="P83" s="263">
        <v>0</v>
      </c>
      <c r="Q83" s="258"/>
      <c r="R83" s="259"/>
      <c r="S83" s="263">
        <v>0</v>
      </c>
      <c r="T83" s="258"/>
      <c r="U83" s="259"/>
      <c r="V83" s="263">
        <v>0</v>
      </c>
      <c r="W83" s="263"/>
      <c r="X83" s="263"/>
      <c r="Y83" s="263">
        <v>0</v>
      </c>
      <c r="Z83" s="263"/>
      <c r="AA83" s="259"/>
      <c r="AB83" s="263">
        <v>0</v>
      </c>
      <c r="AC83" s="263"/>
      <c r="AD83" s="263"/>
      <c r="AE83" s="263">
        <v>0</v>
      </c>
      <c r="AF83" s="263"/>
      <c r="AG83" s="263"/>
      <c r="AH83" s="263">
        <v>0</v>
      </c>
      <c r="AI83" s="263"/>
      <c r="AJ83" s="263"/>
      <c r="AK83" s="263"/>
      <c r="AL83" s="263"/>
      <c r="AM83" s="263"/>
      <c r="AN83" s="263" cm="1">
        <f t="array" ref="AN83">SUMPRODUCT((D$8:AK$8&lt;&gt;"Margin")*(D$8:AK$8&lt;&gt;"Salary_$600")*D83:AK83)</f>
        <v>0</v>
      </c>
      <c r="AO83" s="263" cm="1">
        <f t="array" ref="AO83">SUMPRODUCT((D$8:AN$8="Margin")*D83:AN83)</f>
        <v>0</v>
      </c>
      <c r="AP83" s="264" t="s">
        <v>403</v>
      </c>
      <c r="AQ83" s="266" t="s">
        <v>120</v>
      </c>
      <c r="AR83" s="369" t="s">
        <v>404</v>
      </c>
      <c r="AS83" s="498" t="s">
        <v>202</v>
      </c>
      <c r="AT83" s="157"/>
    </row>
    <row r="84" spans="1:62">
      <c r="A84" s="262" t="s">
        <v>405</v>
      </c>
      <c r="B84" s="262" t="s">
        <v>94</v>
      </c>
      <c r="C84" s="262"/>
      <c r="D84" s="263">
        <v>0</v>
      </c>
      <c r="G84" s="263">
        <v>0</v>
      </c>
      <c r="J84" s="263">
        <v>0</v>
      </c>
      <c r="K84" s="258"/>
      <c r="L84" s="257"/>
      <c r="M84" s="263">
        <v>0</v>
      </c>
      <c r="N84" s="258"/>
      <c r="O84" s="259"/>
      <c r="P84" s="263">
        <v>0</v>
      </c>
      <c r="Q84" s="258"/>
      <c r="R84" s="259"/>
      <c r="S84" s="263">
        <v>0</v>
      </c>
      <c r="T84" s="258"/>
      <c r="U84" s="259"/>
      <c r="V84" s="263">
        <v>0</v>
      </c>
      <c r="W84" s="263"/>
      <c r="X84" s="263"/>
      <c r="Y84" s="263">
        <v>0</v>
      </c>
      <c r="Z84" s="263"/>
      <c r="AA84" s="259"/>
      <c r="AB84" s="263">
        <v>0</v>
      </c>
      <c r="AC84" s="263"/>
      <c r="AD84" s="263"/>
      <c r="AE84" s="263">
        <v>0</v>
      </c>
      <c r="AF84" s="263"/>
      <c r="AG84" s="263"/>
      <c r="AH84" s="263">
        <v>0</v>
      </c>
      <c r="AI84" s="263"/>
      <c r="AJ84" s="263"/>
      <c r="AK84" s="263">
        <v>0</v>
      </c>
      <c r="AL84" s="263"/>
      <c r="AM84" s="263"/>
      <c r="AN84" s="263" cm="1">
        <f t="array" ref="AN84">SUMPRODUCT((D$8:AK$8&lt;&gt;"Margin")*(D$8:AK$8&lt;&gt;"Salary_$600")*D84:AK84)</f>
        <v>0</v>
      </c>
      <c r="AO84" s="263" cm="1">
        <f t="array" ref="AO84">SUMPRODUCT((D$8:AN$8="Margin")*D84:AN84)</f>
        <v>0</v>
      </c>
      <c r="AP84" s="264" t="s">
        <v>406</v>
      </c>
      <c r="AQ84" s="266" t="s">
        <v>206</v>
      </c>
      <c r="AR84" s="369" t="s">
        <v>225</v>
      </c>
      <c r="AS84" s="498" t="s">
        <v>202</v>
      </c>
      <c r="AT84" s="157"/>
    </row>
    <row r="85" spans="1:62">
      <c r="A85" s="262" t="s">
        <v>407</v>
      </c>
      <c r="B85" s="262" t="s">
        <v>94</v>
      </c>
      <c r="C85" s="262" t="s">
        <v>101</v>
      </c>
      <c r="D85" s="263">
        <v>0</v>
      </c>
      <c r="G85" s="263">
        <v>0</v>
      </c>
      <c r="J85" s="263">
        <v>0</v>
      </c>
      <c r="K85" s="258"/>
      <c r="L85" s="257"/>
      <c r="M85" s="263">
        <v>0</v>
      </c>
      <c r="N85" s="258"/>
      <c r="O85" s="259"/>
      <c r="P85" s="263">
        <v>0</v>
      </c>
      <c r="Q85" s="258"/>
      <c r="R85" s="259"/>
      <c r="S85" s="263">
        <v>0</v>
      </c>
      <c r="T85" s="258"/>
      <c r="U85" s="259"/>
      <c r="V85" s="263">
        <v>0</v>
      </c>
      <c r="W85" s="263"/>
      <c r="X85" s="263"/>
      <c r="Y85" s="263">
        <v>0</v>
      </c>
      <c r="Z85" s="263"/>
      <c r="AA85" s="259"/>
      <c r="AB85" s="263">
        <v>0</v>
      </c>
      <c r="AC85" s="263"/>
      <c r="AD85" s="263"/>
      <c r="AE85" s="263">
        <v>0</v>
      </c>
      <c r="AF85" s="263"/>
      <c r="AG85" s="263"/>
      <c r="AH85" s="263">
        <v>0</v>
      </c>
      <c r="AI85" s="263"/>
      <c r="AJ85" s="263"/>
      <c r="AK85" s="263">
        <v>0</v>
      </c>
      <c r="AL85" s="263"/>
      <c r="AM85" s="263"/>
      <c r="AN85" s="263" cm="1">
        <f t="array" ref="AN85">SUMPRODUCT((D$8:AK$8&lt;&gt;"Margin")*(D$8:AK$8&lt;&gt;"Salary_$600")*D85:AK85)</f>
        <v>0</v>
      </c>
      <c r="AO85" s="263" cm="1">
        <f t="array" ref="AO85">SUMPRODUCT((D$8:AN$8="Margin")*D85:AN85)</f>
        <v>0</v>
      </c>
      <c r="AP85" s="264" t="s">
        <v>408</v>
      </c>
      <c r="AQ85" s="266" t="s">
        <v>206</v>
      </c>
      <c r="AR85" s="369" t="s">
        <v>221</v>
      </c>
      <c r="AS85" s="498" t="s">
        <v>202</v>
      </c>
      <c r="AT85" s="157"/>
    </row>
    <row r="86" spans="1:62">
      <c r="A86" s="262"/>
      <c r="B86" s="262"/>
      <c r="C86" s="262"/>
      <c r="D86" s="263"/>
      <c r="G86" s="263"/>
      <c r="J86" s="263"/>
      <c r="K86" s="258"/>
      <c r="L86" s="257"/>
      <c r="M86" s="263"/>
      <c r="N86" s="258"/>
      <c r="O86" s="259"/>
      <c r="P86" s="263"/>
      <c r="Q86" s="258"/>
      <c r="R86" s="259"/>
      <c r="S86" s="263"/>
      <c r="T86" s="258"/>
      <c r="U86" s="259"/>
      <c r="V86" s="263"/>
      <c r="W86" s="263"/>
      <c r="X86" s="263"/>
      <c r="Y86" s="263"/>
      <c r="Z86" s="263"/>
      <c r="AA86" s="259"/>
      <c r="AB86" s="263"/>
      <c r="AC86" s="263"/>
      <c r="AD86" s="263"/>
      <c r="AE86" s="263"/>
      <c r="AF86" s="263"/>
      <c r="AG86" s="263"/>
      <c r="AH86" s="263"/>
      <c r="AI86" s="263"/>
      <c r="AJ86" s="263"/>
      <c r="AK86" s="263"/>
      <c r="AL86" s="263"/>
      <c r="AM86" s="263"/>
      <c r="AN86" s="263"/>
      <c r="AO86" s="263"/>
      <c r="AP86" s="264"/>
      <c r="AQ86" s="266"/>
      <c r="AR86" s="369"/>
      <c r="AS86" s="498" t="s">
        <v>202</v>
      </c>
      <c r="AT86" s="157"/>
    </row>
    <row r="87" spans="1:62">
      <c r="A87" s="262"/>
      <c r="B87" s="262"/>
      <c r="C87" s="262"/>
      <c r="D87" s="263"/>
      <c r="G87" s="263"/>
      <c r="J87" s="263"/>
      <c r="K87" s="258"/>
      <c r="L87" s="257"/>
      <c r="M87" s="263"/>
      <c r="N87" s="258"/>
      <c r="O87" s="259"/>
      <c r="P87" s="263"/>
      <c r="Q87" s="258"/>
      <c r="R87" s="259"/>
      <c r="S87" s="263"/>
      <c r="T87" s="258"/>
      <c r="U87" s="259"/>
      <c r="V87" s="263"/>
      <c r="W87" s="263"/>
      <c r="X87" s="263"/>
      <c r="Y87" s="263"/>
      <c r="Z87" s="263"/>
      <c r="AA87" s="259"/>
      <c r="AB87" s="263"/>
      <c r="AC87" s="263"/>
      <c r="AD87" s="263"/>
      <c r="AE87" s="263"/>
      <c r="AF87" s="263"/>
      <c r="AG87" s="263"/>
      <c r="AH87" s="263"/>
      <c r="AI87" s="263"/>
      <c r="AJ87" s="263"/>
      <c r="AK87" s="263"/>
      <c r="AL87" s="263"/>
      <c r="AM87" s="263"/>
      <c r="AN87" s="263"/>
      <c r="AO87" s="263"/>
      <c r="AP87" s="264"/>
      <c r="AQ87" s="266"/>
      <c r="AR87" s="369"/>
      <c r="AS87" s="498" t="s">
        <v>202</v>
      </c>
      <c r="AT87" s="157"/>
    </row>
    <row r="88" spans="1:62">
      <c r="A88" s="262"/>
      <c r="B88" s="262"/>
      <c r="C88" s="262"/>
      <c r="D88" s="263"/>
      <c r="G88" s="263"/>
      <c r="J88" s="263"/>
      <c r="K88" s="258"/>
      <c r="L88" s="257"/>
      <c r="M88" s="263"/>
      <c r="N88" s="258"/>
      <c r="O88" s="259"/>
      <c r="P88" s="263"/>
      <c r="Q88" s="258"/>
      <c r="R88" s="259"/>
      <c r="S88" s="263"/>
      <c r="T88" s="258"/>
      <c r="U88" s="259"/>
      <c r="V88" s="263"/>
      <c r="W88" s="263"/>
      <c r="X88" s="263"/>
      <c r="Y88" s="263"/>
      <c r="Z88" s="263"/>
      <c r="AA88" s="259"/>
      <c r="AB88" s="263"/>
      <c r="AC88" s="263"/>
      <c r="AD88" s="263"/>
      <c r="AE88" s="263"/>
      <c r="AF88" s="263"/>
      <c r="AG88" s="263"/>
      <c r="AH88" s="263"/>
      <c r="AI88" s="263"/>
      <c r="AJ88" s="263"/>
      <c r="AK88" s="263"/>
      <c r="AL88" s="263"/>
      <c r="AM88" s="263"/>
      <c r="AN88" s="263"/>
      <c r="AO88" s="263"/>
      <c r="AP88" s="264"/>
      <c r="AQ88" s="266"/>
      <c r="AR88" s="369"/>
      <c r="AS88" s="498" t="s">
        <v>202</v>
      </c>
      <c r="AT88" s="157"/>
    </row>
    <row r="89" spans="1:62" s="168" customFormat="1">
      <c r="AQ89" s="363"/>
      <c r="AR89" s="369"/>
      <c r="AS89" s="498"/>
      <c r="AT89" s="157"/>
    </row>
    <row r="90" spans="1:62" s="272" customFormat="1" ht="15">
      <c r="A90" s="268" t="s">
        <v>239</v>
      </c>
      <c r="B90" s="268"/>
      <c r="C90" s="268"/>
      <c r="D90" s="269">
        <f t="shared" ref="D90:AK90" si="14">SUM(D71:D89)</f>
        <v>0</v>
      </c>
      <c r="E90" s="269">
        <f t="shared" si="14"/>
        <v>0</v>
      </c>
      <c r="F90" s="269">
        <f t="shared" si="14"/>
        <v>0</v>
      </c>
      <c r="G90" s="269">
        <f t="shared" si="14"/>
        <v>0</v>
      </c>
      <c r="H90" s="269">
        <f t="shared" si="14"/>
        <v>0</v>
      </c>
      <c r="I90" s="269">
        <f t="shared" si="14"/>
        <v>0</v>
      </c>
      <c r="J90" s="269">
        <f t="shared" si="14"/>
        <v>0</v>
      </c>
      <c r="K90" s="269">
        <f t="shared" si="14"/>
        <v>0</v>
      </c>
      <c r="L90" s="269">
        <f t="shared" si="14"/>
        <v>0</v>
      </c>
      <c r="M90" s="269">
        <f t="shared" si="14"/>
        <v>0</v>
      </c>
      <c r="N90" s="269">
        <f t="shared" si="14"/>
        <v>0</v>
      </c>
      <c r="O90" s="269">
        <f t="shared" si="14"/>
        <v>0</v>
      </c>
      <c r="P90" s="269">
        <f t="shared" si="14"/>
        <v>0</v>
      </c>
      <c r="Q90" s="269">
        <f t="shared" si="14"/>
        <v>0</v>
      </c>
      <c r="R90" s="269">
        <f t="shared" si="14"/>
        <v>0</v>
      </c>
      <c r="S90" s="269">
        <f t="shared" si="14"/>
        <v>0</v>
      </c>
      <c r="T90" s="269">
        <f t="shared" si="14"/>
        <v>0</v>
      </c>
      <c r="U90" s="269">
        <f t="shared" si="14"/>
        <v>0</v>
      </c>
      <c r="V90" s="269">
        <f t="shared" si="14"/>
        <v>0</v>
      </c>
      <c r="W90" s="269">
        <f t="shared" si="14"/>
        <v>0</v>
      </c>
      <c r="X90" s="269">
        <f t="shared" si="14"/>
        <v>0</v>
      </c>
      <c r="Y90" s="269">
        <f t="shared" si="14"/>
        <v>0</v>
      </c>
      <c r="Z90" s="269">
        <f t="shared" si="14"/>
        <v>0</v>
      </c>
      <c r="AA90" s="269">
        <f t="shared" si="14"/>
        <v>0</v>
      </c>
      <c r="AB90" s="269">
        <f t="shared" si="14"/>
        <v>0</v>
      </c>
      <c r="AC90" s="269">
        <f t="shared" si="14"/>
        <v>0</v>
      </c>
      <c r="AD90" s="269">
        <f t="shared" si="14"/>
        <v>0</v>
      </c>
      <c r="AE90" s="269">
        <f t="shared" si="14"/>
        <v>0</v>
      </c>
      <c r="AF90" s="269">
        <f t="shared" si="14"/>
        <v>0</v>
      </c>
      <c r="AG90" s="269">
        <f t="shared" si="14"/>
        <v>0</v>
      </c>
      <c r="AH90" s="269">
        <f t="shared" si="14"/>
        <v>0</v>
      </c>
      <c r="AI90" s="269">
        <f t="shared" si="14"/>
        <v>0</v>
      </c>
      <c r="AJ90" s="269">
        <f t="shared" si="14"/>
        <v>0</v>
      </c>
      <c r="AK90" s="269">
        <f t="shared" si="14"/>
        <v>5000</v>
      </c>
      <c r="AL90" s="269">
        <f>SUM(AL72:AL89)</f>
        <v>0</v>
      </c>
      <c r="AM90" s="269">
        <f>SUM(AM72:AM89)</f>
        <v>0</v>
      </c>
      <c r="AN90" s="269">
        <f>SUM(AN71:AN89)</f>
        <v>5000</v>
      </c>
      <c r="AO90" s="269">
        <f>SUM(AO71:AO89)</f>
        <v>0</v>
      </c>
      <c r="AP90" s="264"/>
      <c r="AQ90" s="270"/>
      <c r="AR90" s="369"/>
      <c r="AS90" s="497"/>
      <c r="AT90" s="317"/>
      <c r="AU90" s="271"/>
      <c r="AV90" s="271"/>
      <c r="AW90" s="271"/>
      <c r="AX90" s="271"/>
      <c r="AY90" s="271"/>
      <c r="AZ90" s="271"/>
      <c r="BA90" s="271"/>
      <c r="BB90" s="271"/>
      <c r="BC90" s="271"/>
      <c r="BD90" s="271"/>
      <c r="BE90" s="271"/>
      <c r="BF90" s="271"/>
      <c r="BG90" s="271"/>
      <c r="BH90" s="271"/>
      <c r="BI90" s="271"/>
      <c r="BJ90" s="271"/>
    </row>
    <row r="91" spans="1:62" s="168" customFormat="1">
      <c r="AQ91" s="363"/>
      <c r="AR91" s="369"/>
      <c r="AS91" s="498"/>
      <c r="AT91" s="157"/>
    </row>
    <row r="92" spans="1:62">
      <c r="A92" s="273" t="s">
        <v>409</v>
      </c>
      <c r="B92" s="273" t="s">
        <v>94</v>
      </c>
      <c r="C92" s="273" t="s">
        <v>95</v>
      </c>
      <c r="D92" s="274"/>
      <c r="G92" s="275"/>
      <c r="J92" s="274"/>
      <c r="K92" s="276"/>
      <c r="L92" s="277"/>
      <c r="M92" s="275">
        <v>0</v>
      </c>
      <c r="N92" s="276"/>
      <c r="O92" s="277"/>
      <c r="P92" s="278"/>
      <c r="Q92" s="276"/>
      <c r="R92" s="277"/>
      <c r="S92" s="277"/>
      <c r="T92" s="276"/>
      <c r="U92" s="277"/>
      <c r="V92" s="278"/>
      <c r="W92" s="278"/>
      <c r="X92" s="278"/>
      <c r="Y92" s="278"/>
      <c r="Z92" s="278"/>
      <c r="AA92" s="277"/>
      <c r="AB92" s="278"/>
      <c r="AC92" s="278"/>
      <c r="AD92" s="278"/>
      <c r="AE92" s="278"/>
      <c r="AF92" s="278"/>
      <c r="AG92" s="278"/>
      <c r="AH92" s="278"/>
      <c r="AI92" s="278"/>
      <c r="AJ92" s="278"/>
      <c r="AK92" s="278"/>
      <c r="AL92" s="278"/>
      <c r="AM92" s="278"/>
      <c r="AN92" s="279"/>
      <c r="AO92" s="279"/>
      <c r="AP92" s="280" t="s">
        <v>410</v>
      </c>
      <c r="AQ92" s="281" t="s">
        <v>120</v>
      </c>
      <c r="AR92" s="369" t="s">
        <v>277</v>
      </c>
      <c r="AS92" s="498" t="s">
        <v>411</v>
      </c>
      <c r="AT92" s="157"/>
    </row>
    <row r="93" spans="1:62">
      <c r="A93" s="273" t="s">
        <v>412</v>
      </c>
      <c r="B93" s="273" t="s">
        <v>94</v>
      </c>
      <c r="C93" s="273" t="s">
        <v>101</v>
      </c>
      <c r="D93" s="274"/>
      <c r="G93" s="275"/>
      <c r="J93" s="274">
        <v>0</v>
      </c>
      <c r="K93" s="276">
        <v>0</v>
      </c>
      <c r="L93" s="277"/>
      <c r="M93" s="275">
        <v>0</v>
      </c>
      <c r="N93" s="276"/>
      <c r="O93" s="277"/>
      <c r="P93" s="278"/>
      <c r="Q93" s="276"/>
      <c r="R93" s="277"/>
      <c r="S93" s="277"/>
      <c r="T93" s="276"/>
      <c r="U93" s="277"/>
      <c r="V93" s="278"/>
      <c r="W93" s="278"/>
      <c r="X93" s="278"/>
      <c r="Y93" s="278"/>
      <c r="Z93" s="278"/>
      <c r="AA93" s="277"/>
      <c r="AB93" s="278"/>
      <c r="AC93" s="278"/>
      <c r="AD93" s="278"/>
      <c r="AE93" s="278"/>
      <c r="AF93" s="278"/>
      <c r="AG93" s="278"/>
      <c r="AH93" s="278"/>
      <c r="AI93" s="278"/>
      <c r="AJ93" s="278"/>
      <c r="AK93" s="278"/>
      <c r="AL93" s="278"/>
      <c r="AM93" s="278"/>
      <c r="AN93" s="279"/>
      <c r="AO93" s="279"/>
      <c r="AP93" s="280" t="s">
        <v>410</v>
      </c>
      <c r="AQ93" s="281" t="s">
        <v>120</v>
      </c>
      <c r="AR93" s="369" t="s">
        <v>278</v>
      </c>
      <c r="AS93" s="498" t="s">
        <v>411</v>
      </c>
      <c r="AT93" s="157"/>
    </row>
    <row r="94" spans="1:62" s="168" customFormat="1">
      <c r="AQ94" s="363"/>
      <c r="AR94" s="369"/>
      <c r="AS94" s="498"/>
      <c r="AT94" s="157"/>
    </row>
    <row r="95" spans="1:62" s="168" customFormat="1">
      <c r="A95" s="282" t="s">
        <v>240</v>
      </c>
      <c r="AN95" s="283"/>
      <c r="AO95" s="283"/>
      <c r="AP95" s="284"/>
      <c r="AQ95" s="285"/>
      <c r="AR95" s="369"/>
      <c r="AS95" s="498"/>
      <c r="AT95" s="157"/>
    </row>
    <row r="96" spans="1:62">
      <c r="A96" s="286" t="s">
        <v>22</v>
      </c>
      <c r="B96" s="287"/>
      <c r="C96" s="287"/>
      <c r="D96" s="288">
        <f>D69</f>
        <v>420557</v>
      </c>
      <c r="G96" s="289">
        <f>G69</f>
        <v>501227</v>
      </c>
      <c r="J96" s="288">
        <f>J69</f>
        <v>658373</v>
      </c>
      <c r="K96" s="174">
        <v>0</v>
      </c>
      <c r="L96" s="290">
        <v>0</v>
      </c>
      <c r="M96" s="289">
        <f>M69</f>
        <v>520730</v>
      </c>
      <c r="N96" s="174">
        <v>0</v>
      </c>
      <c r="O96" s="290">
        <v>0</v>
      </c>
      <c r="P96" s="290">
        <f>P69</f>
        <v>464099</v>
      </c>
      <c r="Q96" s="174">
        <v>0</v>
      </c>
      <c r="R96" s="290">
        <v>0</v>
      </c>
      <c r="S96" s="290">
        <f>S69</f>
        <v>478239</v>
      </c>
      <c r="T96" s="174"/>
      <c r="U96" s="290"/>
      <c r="V96" s="290">
        <f>V69</f>
        <v>515679</v>
      </c>
      <c r="W96" s="290"/>
      <c r="X96" s="290"/>
      <c r="Y96" s="290">
        <f>Y69</f>
        <v>454163</v>
      </c>
      <c r="Z96" s="290"/>
      <c r="AA96" s="290"/>
      <c r="AB96" s="290">
        <f>AB69</f>
        <v>589509</v>
      </c>
      <c r="AC96" s="290"/>
      <c r="AD96" s="290"/>
      <c r="AE96" s="290">
        <f>AE69</f>
        <v>635118.80000000005</v>
      </c>
      <c r="AF96" s="290"/>
      <c r="AG96" s="290"/>
      <c r="AH96" s="290">
        <f>AH69</f>
        <v>475627.33333333331</v>
      </c>
      <c r="AI96" s="290"/>
      <c r="AJ96" s="290"/>
      <c r="AK96" s="290">
        <f>AK69</f>
        <v>637840</v>
      </c>
      <c r="AL96" s="290"/>
      <c r="AM96" s="290"/>
      <c r="AN96" s="291">
        <f>AN69</f>
        <v>6351162.1333333328</v>
      </c>
      <c r="AO96" s="291"/>
      <c r="AP96" s="292"/>
      <c r="AQ96" s="293"/>
      <c r="AR96" s="369"/>
      <c r="AS96" s="498"/>
      <c r="AT96" s="157"/>
    </row>
    <row r="97" spans="1:46">
      <c r="A97" s="286" t="s">
        <v>241</v>
      </c>
      <c r="B97" s="287"/>
      <c r="C97" s="287"/>
      <c r="D97" s="288">
        <f>D90</f>
        <v>0</v>
      </c>
      <c r="G97" s="289">
        <f>G90</f>
        <v>0</v>
      </c>
      <c r="J97" s="288">
        <f>J90</f>
        <v>0</v>
      </c>
      <c r="K97" s="174">
        <v>0</v>
      </c>
      <c r="L97" s="290">
        <v>0</v>
      </c>
      <c r="M97" s="289">
        <f>M90</f>
        <v>0</v>
      </c>
      <c r="N97" s="174">
        <v>0</v>
      </c>
      <c r="O97" s="290">
        <v>0</v>
      </c>
      <c r="P97" s="290">
        <f>P90</f>
        <v>0</v>
      </c>
      <c r="Q97" s="174">
        <v>0</v>
      </c>
      <c r="R97" s="290">
        <v>0</v>
      </c>
      <c r="S97" s="290">
        <f>S90</f>
        <v>0</v>
      </c>
      <c r="T97" s="174"/>
      <c r="U97" s="290"/>
      <c r="V97" s="290">
        <f>V90</f>
        <v>0</v>
      </c>
      <c r="W97" s="290"/>
      <c r="X97" s="290"/>
      <c r="Y97" s="290">
        <f>Y90</f>
        <v>0</v>
      </c>
      <c r="Z97" s="290"/>
      <c r="AA97" s="290"/>
      <c r="AB97" s="290">
        <f>AB90</f>
        <v>0</v>
      </c>
      <c r="AC97" s="290"/>
      <c r="AD97" s="290"/>
      <c r="AE97" s="290">
        <f>AE90</f>
        <v>0</v>
      </c>
      <c r="AF97" s="290"/>
      <c r="AG97" s="290"/>
      <c r="AH97" s="290">
        <f>AH90</f>
        <v>0</v>
      </c>
      <c r="AI97" s="290"/>
      <c r="AJ97" s="290"/>
      <c r="AK97" s="290">
        <f>AK90</f>
        <v>5000</v>
      </c>
      <c r="AL97" s="290"/>
      <c r="AM97" s="290"/>
      <c r="AN97" s="291">
        <f>AN90</f>
        <v>5000</v>
      </c>
      <c r="AO97" s="291"/>
      <c r="AP97" s="292"/>
      <c r="AQ97" s="293"/>
      <c r="AR97" s="369"/>
      <c r="AS97" s="498"/>
      <c r="AT97" s="157"/>
    </row>
    <row r="98" spans="1:46">
      <c r="A98" s="286" t="s">
        <v>242</v>
      </c>
      <c r="B98" s="287"/>
      <c r="C98" s="287"/>
      <c r="D98" s="288">
        <f>SUM(D92:D93)</f>
        <v>0</v>
      </c>
      <c r="G98" s="289">
        <f>SUM(G92:G93)</f>
        <v>0</v>
      </c>
      <c r="J98" s="288">
        <f>SUM(J92:J93)</f>
        <v>0</v>
      </c>
      <c r="K98" s="174">
        <v>0</v>
      </c>
      <c r="L98" s="290">
        <v>0</v>
      </c>
      <c r="M98" s="289">
        <f>SUM(M92:M93)</f>
        <v>0</v>
      </c>
      <c r="N98" s="174">
        <v>0</v>
      </c>
      <c r="O98" s="290">
        <v>0</v>
      </c>
      <c r="P98" s="290">
        <f>SUM(P92:P93)</f>
        <v>0</v>
      </c>
      <c r="Q98" s="174">
        <v>0</v>
      </c>
      <c r="R98" s="290">
        <v>0</v>
      </c>
      <c r="S98" s="290">
        <f>SUM(S92:S93)</f>
        <v>0</v>
      </c>
      <c r="T98" s="174"/>
      <c r="U98" s="290"/>
      <c r="V98" s="290">
        <f>SUM(V92:V93)</f>
        <v>0</v>
      </c>
      <c r="W98" s="290"/>
      <c r="X98" s="290"/>
      <c r="Y98" s="290">
        <f>SUM(Y92:Y93)</f>
        <v>0</v>
      </c>
      <c r="Z98" s="290"/>
      <c r="AA98" s="290"/>
      <c r="AB98" s="290">
        <f>SUM(AB92:AB93)</f>
        <v>0</v>
      </c>
      <c r="AC98" s="290"/>
      <c r="AD98" s="290"/>
      <c r="AE98" s="290">
        <f>SUM(AE92:AE93)</f>
        <v>0</v>
      </c>
      <c r="AF98" s="290"/>
      <c r="AG98" s="290"/>
      <c r="AH98" s="290">
        <f>SUM(AH92:AH93)</f>
        <v>0</v>
      </c>
      <c r="AI98" s="290"/>
      <c r="AJ98" s="290"/>
      <c r="AK98" s="290">
        <f>SUM(AK92:AK93)</f>
        <v>0</v>
      </c>
      <c r="AL98" s="290"/>
      <c r="AM98" s="290"/>
      <c r="AN98" s="291">
        <f>SUM(D98:AK98)</f>
        <v>0</v>
      </c>
      <c r="AO98" s="291"/>
      <c r="AP98" s="292"/>
      <c r="AQ98" s="293"/>
      <c r="AR98" s="369"/>
      <c r="AS98" s="498"/>
      <c r="AT98" s="157"/>
    </row>
    <row r="99" spans="1:46">
      <c r="A99" s="286" t="s">
        <v>243</v>
      </c>
      <c r="B99" s="287"/>
      <c r="C99" s="287"/>
      <c r="D99" s="288">
        <f>D96+D97+D98</f>
        <v>420557</v>
      </c>
      <c r="G99" s="289">
        <f>G96+G97+G98</f>
        <v>501227</v>
      </c>
      <c r="J99" s="288">
        <f>J96+J97+J98</f>
        <v>658373</v>
      </c>
      <c r="K99" s="174">
        <v>0</v>
      </c>
      <c r="L99" s="290">
        <v>0</v>
      </c>
      <c r="M99" s="289">
        <f>M96+M97+M98</f>
        <v>520730</v>
      </c>
      <c r="N99" s="174">
        <v>0</v>
      </c>
      <c r="O99" s="290">
        <v>0</v>
      </c>
      <c r="P99" s="290">
        <f>P96+P97+P98</f>
        <v>464099</v>
      </c>
      <c r="Q99" s="174">
        <v>0</v>
      </c>
      <c r="R99" s="290">
        <v>0</v>
      </c>
      <c r="S99" s="290">
        <f>S96+S97+S98</f>
        <v>478239</v>
      </c>
      <c r="T99" s="174"/>
      <c r="U99" s="290"/>
      <c r="V99" s="290">
        <f>V96+V97+V98</f>
        <v>515679</v>
      </c>
      <c r="W99" s="290"/>
      <c r="X99" s="290"/>
      <c r="Y99" s="290">
        <f>Y96+Y97+Y98</f>
        <v>454163</v>
      </c>
      <c r="Z99" s="290"/>
      <c r="AA99" s="290"/>
      <c r="AB99" s="290">
        <f>AB96+AB97+AB98</f>
        <v>589509</v>
      </c>
      <c r="AC99" s="290"/>
      <c r="AD99" s="290"/>
      <c r="AE99" s="290">
        <f>AE96+AE97+AE98</f>
        <v>635118.80000000005</v>
      </c>
      <c r="AF99" s="290"/>
      <c r="AG99" s="290"/>
      <c r="AH99" s="290">
        <f>AH96+AH97+AH98</f>
        <v>475627.33333333331</v>
      </c>
      <c r="AI99" s="290"/>
      <c r="AJ99" s="290"/>
      <c r="AK99" s="290">
        <f>AK96+AK97+AK98</f>
        <v>642840</v>
      </c>
      <c r="AL99" s="290"/>
      <c r="AM99" s="290"/>
      <c r="AN99" s="291">
        <f>SUM(D99:AK99)</f>
        <v>6356162.1333333328</v>
      </c>
      <c r="AO99" s="291"/>
      <c r="AP99" s="292"/>
      <c r="AQ99" s="293"/>
      <c r="AR99" s="369"/>
      <c r="AS99" s="498"/>
      <c r="AT99" s="157"/>
    </row>
    <row r="100" spans="1:46" s="168" customFormat="1">
      <c r="AQ100" s="363"/>
      <c r="AR100" s="369"/>
      <c r="AS100" s="498"/>
      <c r="AT100" s="157"/>
    </row>
    <row r="101" spans="1:46">
      <c r="A101" s="216" t="s">
        <v>21</v>
      </c>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94"/>
      <c r="AO101" s="294"/>
      <c r="AP101" s="295"/>
      <c r="AQ101" s="296"/>
      <c r="AR101" s="369"/>
      <c r="AS101" s="498"/>
      <c r="AT101" s="157"/>
    </row>
    <row r="102" spans="1:46">
      <c r="A102" s="235" t="s">
        <v>28</v>
      </c>
      <c r="B102" s="235" t="s">
        <v>413</v>
      </c>
      <c r="C102" s="235" t="s">
        <v>21</v>
      </c>
      <c r="D102" s="288">
        <v>32856</v>
      </c>
      <c r="F102" s="168">
        <v>2496.56</v>
      </c>
      <c r="G102" s="289">
        <v>31312</v>
      </c>
      <c r="I102" s="168">
        <v>2381.84</v>
      </c>
      <c r="J102" s="288">
        <v>34608</v>
      </c>
      <c r="K102" s="174">
        <v>27410.880000000001</v>
      </c>
      <c r="L102" s="117">
        <v>2632.56</v>
      </c>
      <c r="M102" s="289">
        <v>35152</v>
      </c>
      <c r="N102" s="174">
        <v>27756.16</v>
      </c>
      <c r="O102" s="117">
        <v>2661.92</v>
      </c>
      <c r="P102" s="117">
        <v>35056</v>
      </c>
      <c r="Q102" s="174">
        <v>27754.880000000001</v>
      </c>
      <c r="R102" s="117">
        <v>2669.92</v>
      </c>
      <c r="S102" s="297">
        <v>34752</v>
      </c>
      <c r="T102" s="174">
        <v>27481.599999999999</v>
      </c>
      <c r="U102" s="298">
        <v>2656.64</v>
      </c>
      <c r="V102" s="297">
        <v>36256</v>
      </c>
      <c r="W102" s="174">
        <v>29404.16</v>
      </c>
      <c r="X102" s="298">
        <v>2883.28</v>
      </c>
      <c r="Y102" s="297">
        <v>33264</v>
      </c>
      <c r="Z102" s="174"/>
      <c r="AA102" s="298">
        <v>2520.48</v>
      </c>
      <c r="AB102" s="297">
        <v>33262</v>
      </c>
      <c r="AC102" s="174"/>
      <c r="AD102" s="298">
        <v>2520.48</v>
      </c>
      <c r="AE102" s="297">
        <v>35144</v>
      </c>
      <c r="AF102" s="174"/>
      <c r="AG102" s="298">
        <v>2756</v>
      </c>
      <c r="AH102" s="297">
        <v>19728</v>
      </c>
      <c r="AI102" s="174"/>
      <c r="AJ102" s="298">
        <v>1392.48</v>
      </c>
      <c r="AK102" s="297">
        <v>18308</v>
      </c>
      <c r="AL102" s="174"/>
      <c r="AM102" s="298">
        <v>1295.1199999999999</v>
      </c>
      <c r="AN102" s="297" cm="1">
        <f t="array" ref="AN102">SUMPRODUCT((D$8:AK$8&lt;&gt;"Margin")*(D$8:AK$8&lt;&gt;"Salary_$600")*D102:AK102)</f>
        <v>379698</v>
      </c>
      <c r="AO102" s="174" cm="1">
        <f t="array" ref="AO102">SUMPRODUCT((D$8:AN$8="Margin")*D102:AN102)</f>
        <v>28867.279999999995</v>
      </c>
      <c r="AP102" s="352" t="s">
        <v>30</v>
      </c>
      <c r="AQ102" s="300" t="s">
        <v>31</v>
      </c>
      <c r="AR102" s="369" t="s">
        <v>32</v>
      </c>
      <c r="AS102" s="498" t="s">
        <v>244</v>
      </c>
      <c r="AT102" s="157" t="s">
        <v>414</v>
      </c>
    </row>
    <row r="103" spans="1:46">
      <c r="A103" s="235" t="s">
        <v>34</v>
      </c>
      <c r="B103" s="235" t="s">
        <v>413</v>
      </c>
      <c r="C103" s="235" t="s">
        <v>21</v>
      </c>
      <c r="D103" s="288">
        <v>21752</v>
      </c>
      <c r="F103" s="168">
        <v>1816</v>
      </c>
      <c r="G103" s="289">
        <v>19720</v>
      </c>
      <c r="I103" s="168">
        <v>1648</v>
      </c>
      <c r="J103" s="288">
        <v>21336</v>
      </c>
      <c r="K103" s="174">
        <v>17052</v>
      </c>
      <c r="L103" s="117">
        <v>1764</v>
      </c>
      <c r="M103" s="289">
        <v>19024</v>
      </c>
      <c r="N103" s="174">
        <v>14952</v>
      </c>
      <c r="O103" s="117">
        <v>1432</v>
      </c>
      <c r="P103" s="117">
        <v>12600</v>
      </c>
      <c r="Q103" s="174">
        <v>9408</v>
      </c>
      <c r="R103" s="117">
        <v>672</v>
      </c>
      <c r="S103" s="297">
        <v>14175</v>
      </c>
      <c r="T103" s="174">
        <v>10584</v>
      </c>
      <c r="U103" s="298">
        <v>756</v>
      </c>
      <c r="V103" s="297">
        <v>13200</v>
      </c>
      <c r="W103" s="174">
        <v>10584</v>
      </c>
      <c r="X103" s="298">
        <v>756</v>
      </c>
      <c r="Y103" s="297">
        <v>12600</v>
      </c>
      <c r="Z103" s="174"/>
      <c r="AA103" s="298">
        <v>672</v>
      </c>
      <c r="AB103" s="297">
        <v>12825</v>
      </c>
      <c r="AC103" s="174"/>
      <c r="AD103" s="298">
        <v>684</v>
      </c>
      <c r="AE103" s="297">
        <v>14250</v>
      </c>
      <c r="AF103" s="174"/>
      <c r="AG103" s="298">
        <v>760</v>
      </c>
      <c r="AH103" s="297">
        <v>10200</v>
      </c>
      <c r="AI103" s="174"/>
      <c r="AJ103" s="298">
        <v>544</v>
      </c>
      <c r="AK103" s="297">
        <v>9900</v>
      </c>
      <c r="AL103" s="174"/>
      <c r="AM103" s="298">
        <v>528</v>
      </c>
      <c r="AN103" s="297" cm="1">
        <f t="array" ref="AN103">SUMPRODUCT((D$8:AK$8&lt;&gt;"Margin")*(D$8:AK$8&lt;&gt;"Salary_$600")*D103:AK103)</f>
        <v>181582</v>
      </c>
      <c r="AO103" s="174" cm="1">
        <f t="array" ref="AO103">SUMPRODUCT((D$8:AN$8="Margin")*D103:AN103)</f>
        <v>12032</v>
      </c>
      <c r="AP103" s="352" t="s">
        <v>35</v>
      </c>
      <c r="AQ103" s="300" t="s">
        <v>31</v>
      </c>
      <c r="AR103" s="369" t="s">
        <v>32</v>
      </c>
      <c r="AS103" s="498" t="s">
        <v>244</v>
      </c>
      <c r="AT103" s="157" t="s">
        <v>415</v>
      </c>
    </row>
    <row r="104" spans="1:46">
      <c r="A104" s="235" t="s">
        <v>36</v>
      </c>
      <c r="B104" s="235" t="s">
        <v>413</v>
      </c>
      <c r="C104" s="235" t="s">
        <v>21</v>
      </c>
      <c r="D104" s="288">
        <v>14400</v>
      </c>
      <c r="F104" s="168">
        <v>1400</v>
      </c>
      <c r="G104" s="289">
        <v>10080</v>
      </c>
      <c r="I104" s="168">
        <v>980</v>
      </c>
      <c r="J104" s="288">
        <v>12096</v>
      </c>
      <c r="K104" s="174"/>
      <c r="L104" s="117">
        <v>1176</v>
      </c>
      <c r="M104" s="289">
        <v>12672</v>
      </c>
      <c r="N104" s="174"/>
      <c r="O104" s="117">
        <v>1232</v>
      </c>
      <c r="P104" s="117">
        <v>5904</v>
      </c>
      <c r="Q104" s="174"/>
      <c r="R104" s="117">
        <v>574</v>
      </c>
      <c r="S104" s="297">
        <v>11520</v>
      </c>
      <c r="T104" s="174"/>
      <c r="U104" s="298">
        <v>1120</v>
      </c>
      <c r="V104" s="297">
        <v>9936</v>
      </c>
      <c r="W104" s="174"/>
      <c r="X104" s="298">
        <v>966</v>
      </c>
      <c r="Y104" s="297">
        <v>12096</v>
      </c>
      <c r="Z104" s="174"/>
      <c r="AA104" s="298">
        <v>1176</v>
      </c>
      <c r="AB104" s="297">
        <v>12096</v>
      </c>
      <c r="AC104" s="174"/>
      <c r="AD104" s="298">
        <v>1176</v>
      </c>
      <c r="AE104" s="297">
        <v>15264</v>
      </c>
      <c r="AF104" s="174"/>
      <c r="AG104" s="298">
        <v>1484</v>
      </c>
      <c r="AH104" s="297">
        <v>10656</v>
      </c>
      <c r="AI104" s="174"/>
      <c r="AJ104" s="298">
        <v>1036</v>
      </c>
      <c r="AK104" s="297">
        <v>10368</v>
      </c>
      <c r="AL104" s="174"/>
      <c r="AM104" s="298">
        <v>1008</v>
      </c>
      <c r="AN104" s="297" cm="1">
        <f t="array" ref="AN104">SUMPRODUCT((D$8:AK$8&lt;&gt;"Margin")*(D$8:AK$8&lt;&gt;"Salary_$600")*D104:AK104)</f>
        <v>137088</v>
      </c>
      <c r="AO104" s="174" cm="1">
        <f t="array" ref="AO104">SUMPRODUCT((D$8:AN$8="Margin")*D104:AN104)</f>
        <v>13328</v>
      </c>
      <c r="AP104" s="352" t="s">
        <v>37</v>
      </c>
      <c r="AQ104" s="300" t="s">
        <v>31</v>
      </c>
      <c r="AR104" s="369" t="s">
        <v>32</v>
      </c>
      <c r="AS104" s="498" t="s">
        <v>244</v>
      </c>
      <c r="AT104" s="157" t="s">
        <v>416</v>
      </c>
    </row>
    <row r="105" spans="1:46">
      <c r="A105" s="235" t="s">
        <v>38</v>
      </c>
      <c r="B105" s="235" t="s">
        <v>413</v>
      </c>
      <c r="C105" s="235" t="s">
        <v>21</v>
      </c>
      <c r="D105" s="288">
        <v>10590.44</v>
      </c>
      <c r="F105" s="168">
        <v>638.74</v>
      </c>
      <c r="G105" s="289">
        <v>9716</v>
      </c>
      <c r="I105" s="168">
        <v>586</v>
      </c>
      <c r="J105" s="288">
        <v>10298.959999999999</v>
      </c>
      <c r="K105" s="174"/>
      <c r="L105" s="117">
        <v>621.16</v>
      </c>
      <c r="M105" s="289">
        <v>10590.44</v>
      </c>
      <c r="N105" s="174"/>
      <c r="O105" s="117">
        <v>638.74</v>
      </c>
      <c r="P105" s="117">
        <v>10687.6</v>
      </c>
      <c r="Q105" s="174"/>
      <c r="R105" s="117">
        <v>644.6</v>
      </c>
      <c r="S105" s="297">
        <v>10298.959999999999</v>
      </c>
      <c r="T105" s="174"/>
      <c r="U105" s="298">
        <v>621.16</v>
      </c>
      <c r="V105" s="297">
        <v>11464.88</v>
      </c>
      <c r="W105" s="174"/>
      <c r="X105" s="298">
        <v>691.48</v>
      </c>
      <c r="Y105" s="297">
        <v>9813</v>
      </c>
      <c r="Z105" s="174"/>
      <c r="AA105" s="298">
        <v>591.86</v>
      </c>
      <c r="AB105" s="297">
        <v>10590.44</v>
      </c>
      <c r="AC105" s="174"/>
      <c r="AD105" s="298">
        <v>638.74</v>
      </c>
      <c r="AE105" s="297">
        <v>11153</v>
      </c>
      <c r="AF105" s="174"/>
      <c r="AG105" s="298">
        <v>673.9</v>
      </c>
      <c r="AH105" s="297">
        <v>11200.28</v>
      </c>
      <c r="AI105" s="174"/>
      <c r="AJ105" s="298">
        <v>533.26</v>
      </c>
      <c r="AK105" s="297">
        <v>11939</v>
      </c>
      <c r="AL105" s="174"/>
      <c r="AM105" s="298">
        <v>568.41999999999996</v>
      </c>
      <c r="AN105" s="297" cm="1">
        <f t="array" ref="AN105">SUMPRODUCT((D$8:AK$8&lt;&gt;"Margin")*(D$8:AK$8&lt;&gt;"Salary_$600")*D105:AK105)</f>
        <v>128343</v>
      </c>
      <c r="AO105" s="174" cm="1">
        <f t="array" ref="AO105">SUMPRODUCT((D$8:AN$8="Margin")*D105:AN105)</f>
        <v>7448.0599999999995</v>
      </c>
      <c r="AP105" s="352" t="s">
        <v>39</v>
      </c>
      <c r="AQ105" s="300" t="s">
        <v>31</v>
      </c>
      <c r="AR105" s="369" t="s">
        <v>32</v>
      </c>
      <c r="AS105" s="498" t="s">
        <v>244</v>
      </c>
      <c r="AT105" s="157" t="s">
        <v>417</v>
      </c>
    </row>
    <row r="106" spans="1:46">
      <c r="A106" s="235" t="s">
        <v>144</v>
      </c>
      <c r="B106" s="235" t="s">
        <v>413</v>
      </c>
      <c r="C106" s="235" t="s">
        <v>21</v>
      </c>
      <c r="D106" s="288">
        <v>49560</v>
      </c>
      <c r="F106" s="168">
        <v>3948</v>
      </c>
      <c r="G106" s="289">
        <v>44840</v>
      </c>
      <c r="I106" s="168">
        <v>3572</v>
      </c>
      <c r="J106" s="288">
        <v>49560</v>
      </c>
      <c r="K106" s="174"/>
      <c r="L106" s="117">
        <v>3948</v>
      </c>
      <c r="M106" s="289">
        <v>51920</v>
      </c>
      <c r="N106" s="174"/>
      <c r="O106" s="117">
        <v>4136</v>
      </c>
      <c r="P106" s="117">
        <v>50472</v>
      </c>
      <c r="Q106" s="174"/>
      <c r="R106" s="117">
        <v>4020</v>
      </c>
      <c r="S106" s="297">
        <v>43780</v>
      </c>
      <c r="T106" s="174"/>
      <c r="U106" s="298">
        <v>3598</v>
      </c>
      <c r="V106" s="297">
        <v>51920</v>
      </c>
      <c r="W106" s="174"/>
      <c r="X106" s="298">
        <v>4136</v>
      </c>
      <c r="Y106" s="297">
        <v>54720</v>
      </c>
      <c r="Z106" s="174"/>
      <c r="AA106" s="298">
        <v>4548</v>
      </c>
      <c r="AB106" s="297">
        <v>50920</v>
      </c>
      <c r="AC106" s="174"/>
      <c r="AD106" s="298">
        <v>4368</v>
      </c>
      <c r="AE106" s="297">
        <v>60730</v>
      </c>
      <c r="AF106" s="174"/>
      <c r="AG106" s="298">
        <v>5074</v>
      </c>
      <c r="AH106" s="297">
        <v>28424</v>
      </c>
      <c r="AI106" s="174"/>
      <c r="AJ106" s="298">
        <v>1836</v>
      </c>
      <c r="AK106" s="297">
        <v>27588</v>
      </c>
      <c r="AL106" s="174"/>
      <c r="AM106" s="298">
        <v>1782</v>
      </c>
      <c r="AN106" s="297" cm="1">
        <f t="array" ref="AN106">SUMPRODUCT((D$8:AK$8&lt;&gt;"Margin")*(D$8:AK$8&lt;&gt;"Salary_$600")*D106:AK106)</f>
        <v>564434</v>
      </c>
      <c r="AO106" s="174" cm="1">
        <f t="array" ref="AO106">SUMPRODUCT((D$8:AN$8="Margin")*D106:AN106)</f>
        <v>44966</v>
      </c>
      <c r="AP106" s="352" t="s">
        <v>30</v>
      </c>
      <c r="AQ106" s="300" t="s">
        <v>31</v>
      </c>
      <c r="AR106" s="369" t="s">
        <v>32</v>
      </c>
      <c r="AS106" s="498" t="s">
        <v>244</v>
      </c>
      <c r="AT106" s="157" t="s">
        <v>418</v>
      </c>
    </row>
    <row r="107" spans="1:46">
      <c r="A107" s="235" t="s">
        <v>146</v>
      </c>
      <c r="B107" s="235" t="s">
        <v>413</v>
      </c>
      <c r="C107" s="235" t="s">
        <v>21</v>
      </c>
      <c r="D107" s="288">
        <v>15960</v>
      </c>
      <c r="F107" s="168">
        <v>1680</v>
      </c>
      <c r="G107" s="289">
        <v>15105</v>
      </c>
      <c r="I107" s="168">
        <v>1590</v>
      </c>
      <c r="J107" s="288">
        <v>15960</v>
      </c>
      <c r="K107" s="174"/>
      <c r="L107" s="117">
        <v>1680</v>
      </c>
      <c r="M107" s="289">
        <v>16720</v>
      </c>
      <c r="N107" s="174"/>
      <c r="O107" s="117">
        <v>1760</v>
      </c>
      <c r="P107" s="117">
        <v>13680</v>
      </c>
      <c r="Q107" s="174"/>
      <c r="R107" s="117">
        <v>1440</v>
      </c>
      <c r="S107" s="297">
        <v>14440</v>
      </c>
      <c r="T107" s="174"/>
      <c r="U107" s="298">
        <v>1520</v>
      </c>
      <c r="V107" s="297">
        <v>16720</v>
      </c>
      <c r="W107" s="174"/>
      <c r="X107" s="298">
        <v>1760</v>
      </c>
      <c r="Y107" s="297">
        <v>12160</v>
      </c>
      <c r="Z107" s="174"/>
      <c r="AA107" s="298">
        <v>1280</v>
      </c>
      <c r="AB107" s="297">
        <v>15960</v>
      </c>
      <c r="AC107" s="174"/>
      <c r="AD107" s="298">
        <v>1680</v>
      </c>
      <c r="AE107" s="297">
        <v>17480</v>
      </c>
      <c r="AF107" s="174"/>
      <c r="AG107" s="298">
        <v>1840</v>
      </c>
      <c r="AH107" s="297">
        <v>9880</v>
      </c>
      <c r="AI107" s="174"/>
      <c r="AJ107" s="298">
        <v>1040</v>
      </c>
      <c r="AK107" s="297">
        <v>13300</v>
      </c>
      <c r="AL107" s="174"/>
      <c r="AM107" s="298">
        <v>1400</v>
      </c>
      <c r="AN107" s="297" cm="1">
        <f t="array" ref="AN107">SUMPRODUCT((D$8:AK$8&lt;&gt;"Margin")*(D$8:AK$8&lt;&gt;"Salary_$600")*D107:AK107)</f>
        <v>177365</v>
      </c>
      <c r="AO107" s="174" cm="1">
        <f t="array" ref="AO107">SUMPRODUCT((D$8:AN$8="Margin")*D107:AN107)</f>
        <v>18670</v>
      </c>
      <c r="AP107" s="352" t="s">
        <v>39</v>
      </c>
      <c r="AQ107" s="300" t="s">
        <v>31</v>
      </c>
      <c r="AR107" s="369" t="s">
        <v>32</v>
      </c>
      <c r="AS107" s="498" t="s">
        <v>244</v>
      </c>
      <c r="AT107" s="157" t="s">
        <v>419</v>
      </c>
    </row>
    <row r="108" spans="1:46">
      <c r="A108" s="235" t="s">
        <v>420</v>
      </c>
      <c r="B108" s="235" t="s">
        <v>413</v>
      </c>
      <c r="C108" s="235" t="s">
        <v>21</v>
      </c>
      <c r="D108" s="288">
        <v>0</v>
      </c>
      <c r="E108" s="168">
        <v>0</v>
      </c>
      <c r="F108" s="168">
        <v>0</v>
      </c>
      <c r="G108" s="289">
        <v>0</v>
      </c>
      <c r="H108" s="168">
        <v>0</v>
      </c>
      <c r="I108" s="168">
        <v>0</v>
      </c>
      <c r="J108" s="288">
        <v>0</v>
      </c>
      <c r="K108" s="174">
        <v>0</v>
      </c>
      <c r="L108" s="117">
        <v>0</v>
      </c>
      <c r="M108" s="289">
        <v>0</v>
      </c>
      <c r="N108" s="174">
        <v>0</v>
      </c>
      <c r="O108" s="117">
        <v>0</v>
      </c>
      <c r="P108" s="117">
        <v>0</v>
      </c>
      <c r="Q108" s="174">
        <v>0</v>
      </c>
      <c r="R108" s="117">
        <v>0</v>
      </c>
      <c r="S108" s="297">
        <v>0</v>
      </c>
      <c r="T108" s="174">
        <v>0</v>
      </c>
      <c r="U108" s="298">
        <v>0</v>
      </c>
      <c r="V108" s="297">
        <v>0</v>
      </c>
      <c r="W108" s="174">
        <v>0</v>
      </c>
      <c r="X108" s="298">
        <v>0</v>
      </c>
      <c r="Y108" s="297">
        <v>0</v>
      </c>
      <c r="Z108" s="174">
        <v>0</v>
      </c>
      <c r="AA108" s="298">
        <v>0</v>
      </c>
      <c r="AB108" s="297">
        <v>0</v>
      </c>
      <c r="AC108" s="174">
        <v>0</v>
      </c>
      <c r="AD108" s="298">
        <v>0</v>
      </c>
      <c r="AE108" s="297">
        <v>0</v>
      </c>
      <c r="AF108" s="174"/>
      <c r="AG108" s="298">
        <v>0</v>
      </c>
      <c r="AH108" s="297">
        <v>0</v>
      </c>
      <c r="AI108" s="174"/>
      <c r="AJ108" s="298">
        <v>0</v>
      </c>
      <c r="AK108" s="297">
        <v>0</v>
      </c>
      <c r="AL108" s="174"/>
      <c r="AM108" s="298">
        <v>0</v>
      </c>
      <c r="AN108" s="297" cm="1">
        <f t="array" ref="AN108">SUMPRODUCT((D$8:AK$8&lt;&gt;"Margin")*(D$8:AK$8&lt;&gt;"Salary_$600")*D108:AK108)</f>
        <v>0</v>
      </c>
      <c r="AO108" s="174" cm="1">
        <f t="array" ref="AO108">SUMPRODUCT((D$8:AN$8="Margin")*D108:AN108)</f>
        <v>0</v>
      </c>
      <c r="AP108" s="299" t="s">
        <v>421</v>
      </c>
      <c r="AQ108" s="300"/>
      <c r="AR108" s="369" t="s">
        <v>422</v>
      </c>
      <c r="AS108" s="498" t="s">
        <v>246</v>
      </c>
      <c r="AT108" s="157"/>
    </row>
    <row r="109" spans="1:46">
      <c r="A109" s="235" t="s">
        <v>42</v>
      </c>
      <c r="B109" s="235" t="s">
        <v>413</v>
      </c>
      <c r="C109" s="235" t="s">
        <v>21</v>
      </c>
      <c r="D109" s="236">
        <v>27096</v>
      </c>
      <c r="E109" s="238">
        <v>14964</v>
      </c>
      <c r="F109" s="223">
        <f>D109-E109</f>
        <v>12132</v>
      </c>
      <c r="G109" s="237">
        <v>19250</v>
      </c>
      <c r="H109" s="238">
        <v>13004</v>
      </c>
      <c r="I109" s="225">
        <f>G109-H109</f>
        <v>6246</v>
      </c>
      <c r="J109" s="236">
        <v>16953</v>
      </c>
      <c r="K109" s="238">
        <v>13004</v>
      </c>
      <c r="L109" s="225">
        <f>J109-K109</f>
        <v>3949</v>
      </c>
      <c r="M109" s="237">
        <v>13795</v>
      </c>
      <c r="N109" s="227">
        <v>9199</v>
      </c>
      <c r="O109" s="239">
        <f>M109-N109</f>
        <v>4596</v>
      </c>
      <c r="P109" s="227">
        <v>15173</v>
      </c>
      <c r="Q109" s="227">
        <v>9199</v>
      </c>
      <c r="R109" s="239">
        <f>P109-Q109</f>
        <v>5974</v>
      </c>
      <c r="S109" s="250">
        <v>14541</v>
      </c>
      <c r="T109" s="174">
        <v>9733</v>
      </c>
      <c r="U109" s="298">
        <f>S109-T109</f>
        <v>4808</v>
      </c>
      <c r="V109" s="301">
        <f>INT(1549904.04/83)</f>
        <v>18673</v>
      </c>
      <c r="W109" s="174">
        <f>INT(619028/83)</f>
        <v>7458</v>
      </c>
      <c r="X109" s="298">
        <f>V109-W109</f>
        <v>11215</v>
      </c>
      <c r="Y109" s="297">
        <v>17426</v>
      </c>
      <c r="Z109" s="174">
        <v>9733</v>
      </c>
      <c r="AA109" s="298">
        <f>Y109-Z109</f>
        <v>7693</v>
      </c>
      <c r="AB109" s="250">
        <f>1315164.28/83</f>
        <v>15845.352771084337</v>
      </c>
      <c r="AC109" s="174">
        <v>6894.53</v>
      </c>
      <c r="AD109" s="298">
        <f>AB109-AC109</f>
        <v>8950.8227710843385</v>
      </c>
      <c r="AE109" s="227">
        <v>8207.99</v>
      </c>
      <c r="AF109" s="174">
        <v>4284.8795</v>
      </c>
      <c r="AG109" s="298">
        <f>AE109-AF109</f>
        <v>3923.1104999999998</v>
      </c>
      <c r="AH109" s="250">
        <v>18595.662700000001</v>
      </c>
      <c r="AI109" s="174">
        <v>8815.5542000000005</v>
      </c>
      <c r="AJ109" s="298">
        <f>AH109-AI109</f>
        <v>9780.1085000000003</v>
      </c>
      <c r="AK109" s="297">
        <v>15799.28</v>
      </c>
      <c r="AL109" s="174"/>
      <c r="AM109" s="298">
        <v>2002</v>
      </c>
      <c r="AN109" s="250" cm="1">
        <f t="array" ref="AN109">SUMPRODUCT((D$8:AK$8&lt;&gt;"Margin")*(D$8:AK$8&lt;&gt;"Salary_$600")*D109:AK109)</f>
        <v>201355.28547108432</v>
      </c>
      <c r="AO109" s="238" cm="1">
        <f t="array" ref="AO109">SUMPRODUCT((D$8:AN$8="Margin")*D109:AN109)</f>
        <v>81269.041771084332</v>
      </c>
      <c r="AP109" s="299" t="s">
        <v>44</v>
      </c>
      <c r="AQ109" s="300" t="s">
        <v>31</v>
      </c>
      <c r="AR109" s="369" t="s">
        <v>45</v>
      </c>
      <c r="AS109" s="498" t="s">
        <v>246</v>
      </c>
      <c r="AT109" s="157"/>
    </row>
    <row r="110" spans="1:46" s="168" customFormat="1">
      <c r="A110" s="235" t="s">
        <v>46</v>
      </c>
      <c r="B110" s="235" t="s">
        <v>94</v>
      </c>
      <c r="C110" s="235" t="s">
        <v>21</v>
      </c>
      <c r="D110" s="236"/>
      <c r="E110" s="238"/>
      <c r="F110" s="223">
        <v>0</v>
      </c>
      <c r="G110" s="237"/>
      <c r="H110" s="238"/>
      <c r="I110" s="225">
        <v>0</v>
      </c>
      <c r="J110" s="236"/>
      <c r="K110" s="238"/>
      <c r="L110" s="225">
        <v>0</v>
      </c>
      <c r="M110" s="237"/>
      <c r="N110" s="227"/>
      <c r="O110" s="239">
        <v>0</v>
      </c>
      <c r="P110" s="227"/>
      <c r="Q110" s="227"/>
      <c r="R110" s="239">
        <v>0</v>
      </c>
      <c r="S110" s="250"/>
      <c r="T110" s="174"/>
      <c r="U110" s="298">
        <v>0</v>
      </c>
      <c r="V110" s="301">
        <f>80*120</f>
        <v>9600</v>
      </c>
      <c r="W110" s="174">
        <v>0</v>
      </c>
      <c r="X110" s="298">
        <f>10*120</f>
        <v>1200</v>
      </c>
      <c r="Y110" s="297">
        <v>13440</v>
      </c>
      <c r="Z110" s="174"/>
      <c r="AA110" s="298">
        <v>1680</v>
      </c>
      <c r="AB110" s="250">
        <v>12160</v>
      </c>
      <c r="AC110" s="174"/>
      <c r="AD110" s="298">
        <v>1520</v>
      </c>
      <c r="AE110" s="297">
        <v>10416</v>
      </c>
      <c r="AF110" s="174"/>
      <c r="AG110" s="298">
        <v>1392</v>
      </c>
      <c r="AH110" s="250">
        <v>18264</v>
      </c>
      <c r="AI110" s="174"/>
      <c r="AJ110" s="298">
        <v>2568</v>
      </c>
      <c r="AK110" s="297">
        <v>18264</v>
      </c>
      <c r="AL110" s="174"/>
      <c r="AM110" s="298">
        <v>2784</v>
      </c>
      <c r="AN110" s="250" cm="1">
        <f t="array" ref="AN110">SUMPRODUCT((D$8:AK$8&lt;&gt;"Margin")*(D$8:AK$8&lt;&gt;"Salary_$600")*D110:AK110)</f>
        <v>82144</v>
      </c>
      <c r="AO110" s="238" cm="1">
        <f t="array" ref="AO110">SUMPRODUCT((D$8:AN$8="Margin")*D110:AN110)</f>
        <v>11144</v>
      </c>
      <c r="AP110" s="352" t="s">
        <v>48</v>
      </c>
      <c r="AQ110" s="300" t="s">
        <v>31</v>
      </c>
      <c r="AR110" s="369" t="s">
        <v>49</v>
      </c>
      <c r="AS110" s="498" t="s">
        <v>247</v>
      </c>
      <c r="AT110" s="157"/>
    </row>
    <row r="111" spans="1:46">
      <c r="A111" s="235" t="s">
        <v>50</v>
      </c>
      <c r="B111" s="235" t="s">
        <v>94</v>
      </c>
      <c r="C111" s="235" t="s">
        <v>21</v>
      </c>
      <c r="D111" s="248"/>
      <c r="F111" s="223">
        <v>0</v>
      </c>
      <c r="G111" s="251"/>
      <c r="I111" s="225">
        <v>0</v>
      </c>
      <c r="J111" s="248"/>
      <c r="K111" s="238"/>
      <c r="L111" s="225">
        <v>0</v>
      </c>
      <c r="M111" s="251"/>
      <c r="N111" s="227"/>
      <c r="O111" s="239">
        <v>0</v>
      </c>
      <c r="P111" s="227"/>
      <c r="Q111" s="227"/>
      <c r="R111" s="239">
        <v>0</v>
      </c>
      <c r="S111" s="227">
        <v>0</v>
      </c>
      <c r="T111" s="227">
        <v>0</v>
      </c>
      <c r="U111" s="239">
        <v>0</v>
      </c>
      <c r="V111" s="227">
        <v>0</v>
      </c>
      <c r="W111" s="227">
        <v>0</v>
      </c>
      <c r="X111" s="239">
        <v>0</v>
      </c>
      <c r="Y111" s="227">
        <v>0</v>
      </c>
      <c r="Z111" s="227"/>
      <c r="AA111" s="239"/>
      <c r="AB111" s="227">
        <v>14592</v>
      </c>
      <c r="AC111" s="227"/>
      <c r="AD111" s="239">
        <v>4712</v>
      </c>
      <c r="AE111" s="297">
        <v>17664</v>
      </c>
      <c r="AF111" s="227"/>
      <c r="AG111" s="239">
        <v>5704</v>
      </c>
      <c r="AH111" s="227">
        <v>13824</v>
      </c>
      <c r="AI111" s="227"/>
      <c r="AJ111" s="239">
        <v>4464</v>
      </c>
      <c r="AK111" s="297">
        <v>13824</v>
      </c>
      <c r="AL111" s="227"/>
      <c r="AM111" s="239">
        <v>4464</v>
      </c>
      <c r="AN111" s="240" cm="1">
        <f t="array" ref="AN111">SUMPRODUCT((D$8:AK$8&lt;&gt;"Margin")*(D$8:AK$8&lt;&gt;"Salary_$600")*D111:AK111)</f>
        <v>59904</v>
      </c>
      <c r="AO111" s="500" cm="1">
        <f t="array" ref="AO111">SUMPRODUCT((D$8:AN$8="Margin")*D111:AN111)</f>
        <v>19344</v>
      </c>
      <c r="AP111" s="241" t="s">
        <v>51</v>
      </c>
      <c r="AQ111" s="242" t="s">
        <v>31</v>
      </c>
      <c r="AR111" s="369" t="s">
        <v>52</v>
      </c>
      <c r="AS111" s="498" t="s">
        <v>247</v>
      </c>
      <c r="AT111" s="157" t="s">
        <v>423</v>
      </c>
    </row>
    <row r="112" spans="1:46" s="168" customFormat="1">
      <c r="AP112" s="302"/>
      <c r="AQ112" s="285"/>
      <c r="AR112" s="369"/>
      <c r="AS112" s="498"/>
      <c r="AT112" s="157"/>
    </row>
    <row r="113" spans="1:46">
      <c r="A113" s="255" t="s">
        <v>62</v>
      </c>
      <c r="B113" s="256"/>
      <c r="C113" s="256"/>
      <c r="D113" s="288">
        <f t="shared" ref="D113:AO113" si="15">SUM(D102:D112)</f>
        <v>172214.44</v>
      </c>
      <c r="E113" s="304">
        <f t="shared" si="15"/>
        <v>14964</v>
      </c>
      <c r="F113" s="304">
        <f t="shared" si="15"/>
        <v>24111.3</v>
      </c>
      <c r="G113" s="289">
        <f t="shared" si="15"/>
        <v>150023</v>
      </c>
      <c r="H113" s="304">
        <f t="shared" si="15"/>
        <v>13004</v>
      </c>
      <c r="I113" s="304">
        <f t="shared" si="15"/>
        <v>17003.84</v>
      </c>
      <c r="J113" s="288">
        <f t="shared" si="15"/>
        <v>160811.96</v>
      </c>
      <c r="K113" s="174">
        <f t="shared" si="15"/>
        <v>57466.880000000005</v>
      </c>
      <c r="L113" s="298">
        <f t="shared" si="15"/>
        <v>15770.72</v>
      </c>
      <c r="M113" s="289">
        <f t="shared" si="15"/>
        <v>159873.44</v>
      </c>
      <c r="N113" s="174">
        <f t="shared" si="15"/>
        <v>51907.16</v>
      </c>
      <c r="O113" s="298">
        <f t="shared" si="15"/>
        <v>16456.66</v>
      </c>
      <c r="P113" s="298">
        <f t="shared" si="15"/>
        <v>143572.6</v>
      </c>
      <c r="Q113" s="174">
        <f t="shared" si="15"/>
        <v>46361.880000000005</v>
      </c>
      <c r="R113" s="298">
        <f t="shared" si="15"/>
        <v>15994.52</v>
      </c>
      <c r="S113" s="297">
        <f t="shared" si="15"/>
        <v>143506.96</v>
      </c>
      <c r="T113" s="174">
        <f t="shared" si="15"/>
        <v>47798.6</v>
      </c>
      <c r="U113" s="298">
        <f t="shared" si="15"/>
        <v>15079.8</v>
      </c>
      <c r="V113" s="297">
        <f t="shared" si="15"/>
        <v>167769.88</v>
      </c>
      <c r="W113" s="174">
        <f t="shared" si="15"/>
        <v>47446.16</v>
      </c>
      <c r="X113" s="298">
        <f t="shared" si="15"/>
        <v>23607.760000000002</v>
      </c>
      <c r="Y113" s="297">
        <f t="shared" si="15"/>
        <v>165519</v>
      </c>
      <c r="Z113" s="174">
        <f t="shared" si="15"/>
        <v>9733</v>
      </c>
      <c r="AA113" s="298">
        <f t="shared" si="15"/>
        <v>20161.34</v>
      </c>
      <c r="AB113" s="297">
        <f t="shared" si="15"/>
        <v>178250.79277108435</v>
      </c>
      <c r="AC113" s="174">
        <f t="shared" si="15"/>
        <v>6894.53</v>
      </c>
      <c r="AD113" s="298">
        <f t="shared" si="15"/>
        <v>26250.042771084336</v>
      </c>
      <c r="AE113" s="297">
        <f t="shared" si="15"/>
        <v>190308.99</v>
      </c>
      <c r="AF113" s="174">
        <f t="shared" si="15"/>
        <v>4284.8795</v>
      </c>
      <c r="AG113" s="298">
        <f t="shared" si="15"/>
        <v>23607.0105</v>
      </c>
      <c r="AH113" s="297">
        <f t="shared" si="15"/>
        <v>140771.94270000001</v>
      </c>
      <c r="AI113" s="174">
        <f t="shared" si="15"/>
        <v>8815.5542000000005</v>
      </c>
      <c r="AJ113" s="298">
        <f t="shared" si="15"/>
        <v>23193.8485</v>
      </c>
      <c r="AK113" s="297">
        <f t="shared" si="15"/>
        <v>139290.28</v>
      </c>
      <c r="AL113" s="174">
        <f t="shared" si="15"/>
        <v>0</v>
      </c>
      <c r="AM113" s="298">
        <f t="shared" si="15"/>
        <v>15831.54</v>
      </c>
      <c r="AN113" s="297">
        <f t="shared" si="15"/>
        <v>1911913.2854710843</v>
      </c>
      <c r="AO113" s="174">
        <f t="shared" si="15"/>
        <v>237068.38177108433</v>
      </c>
      <c r="AP113" s="305"/>
      <c r="AQ113" s="300"/>
      <c r="AR113" s="369"/>
      <c r="AS113" s="498"/>
      <c r="AT113" s="157"/>
    </row>
    <row r="114" spans="1:46" s="168" customFormat="1">
      <c r="AN114" s="306"/>
      <c r="AO114" s="501"/>
      <c r="AP114" s="302"/>
      <c r="AQ114" s="285"/>
      <c r="AR114" s="369"/>
      <c r="AS114" s="498"/>
      <c r="AT114" s="157"/>
    </row>
    <row r="115" spans="1:46" s="168" customFormat="1">
      <c r="A115" s="346" t="s">
        <v>424</v>
      </c>
      <c r="B115" s="346" t="s">
        <v>54</v>
      </c>
      <c r="C115" s="346" t="s">
        <v>21</v>
      </c>
      <c r="D115" s="347">
        <v>5989</v>
      </c>
      <c r="E115" s="347"/>
      <c r="F115" s="347">
        <f>D115</f>
        <v>5989</v>
      </c>
      <c r="G115" s="347">
        <v>5264</v>
      </c>
      <c r="H115" s="347"/>
      <c r="I115" s="347">
        <f>G115</f>
        <v>5264</v>
      </c>
      <c r="J115" s="347">
        <v>5684</v>
      </c>
      <c r="K115" s="347"/>
      <c r="L115" s="347">
        <f>J115</f>
        <v>5684</v>
      </c>
      <c r="M115" s="347">
        <v>20093</v>
      </c>
      <c r="N115" s="347"/>
      <c r="O115" s="347">
        <f>M115</f>
        <v>20093</v>
      </c>
      <c r="P115" s="347">
        <v>0</v>
      </c>
      <c r="Q115" s="347"/>
      <c r="R115" s="347">
        <f>P115</f>
        <v>0</v>
      </c>
      <c r="S115" s="347">
        <v>0</v>
      </c>
      <c r="T115" s="347"/>
      <c r="U115" s="347"/>
      <c r="V115" s="347">
        <v>0</v>
      </c>
      <c r="W115" s="347"/>
      <c r="X115" s="347"/>
      <c r="Y115" s="347">
        <v>0</v>
      </c>
      <c r="Z115" s="347"/>
      <c r="AA115" s="347"/>
      <c r="AB115" s="347">
        <v>0</v>
      </c>
      <c r="AC115" s="347"/>
      <c r="AD115" s="347"/>
      <c r="AE115" s="347">
        <v>0</v>
      </c>
      <c r="AF115" s="347"/>
      <c r="AG115" s="347"/>
      <c r="AH115" s="347">
        <v>0</v>
      </c>
      <c r="AI115" s="347"/>
      <c r="AJ115" s="347"/>
      <c r="AK115" s="347">
        <v>0</v>
      </c>
      <c r="AL115" s="347"/>
      <c r="AM115" s="347"/>
      <c r="AN115" s="499" cm="1">
        <f t="array" ref="AN115">SUMPRODUCT((D$8:AK$8&lt;&gt;"Margin")*(D$8:AK$8&lt;&gt;"Salary_$600")*D115:AK115)</f>
        <v>37030</v>
      </c>
      <c r="AO115" s="499" cm="1">
        <f t="array" ref="AO115">SUMPRODUCT((D$8:AN$8="Margin")*D115:AN115)</f>
        <v>37030</v>
      </c>
      <c r="AP115" s="346" t="s">
        <v>425</v>
      </c>
      <c r="AQ115" s="364"/>
      <c r="AR115" s="369" t="s">
        <v>426</v>
      </c>
      <c r="AS115" s="498" t="s">
        <v>250</v>
      </c>
      <c r="AT115" s="157"/>
    </row>
    <row r="116" spans="1:46" s="168" customFormat="1">
      <c r="A116" s="346" t="s">
        <v>53</v>
      </c>
      <c r="B116" s="346" t="s">
        <v>54</v>
      </c>
      <c r="C116" s="346" t="s">
        <v>21</v>
      </c>
      <c r="D116" s="347">
        <v>4436</v>
      </c>
      <c r="E116" s="347"/>
      <c r="F116" s="347">
        <v>4436</v>
      </c>
      <c r="G116" s="347">
        <v>4955</v>
      </c>
      <c r="H116" s="347"/>
      <c r="I116" s="347">
        <f>G116</f>
        <v>4955</v>
      </c>
      <c r="J116" s="347">
        <v>5917</v>
      </c>
      <c r="K116" s="347"/>
      <c r="L116" s="347">
        <f>J116</f>
        <v>5917</v>
      </c>
      <c r="M116" s="347">
        <v>10262</v>
      </c>
      <c r="N116" s="347"/>
      <c r="O116" s="347">
        <f>M116</f>
        <v>10262</v>
      </c>
      <c r="P116" s="347">
        <v>7212</v>
      </c>
      <c r="Q116" s="347"/>
      <c r="R116" s="347">
        <f>P116</f>
        <v>7212</v>
      </c>
      <c r="S116" s="347">
        <v>8308</v>
      </c>
      <c r="T116" s="347"/>
      <c r="U116" s="347">
        <f>S116</f>
        <v>8308</v>
      </c>
      <c r="V116" s="505">
        <v>12035</v>
      </c>
      <c r="W116" s="347"/>
      <c r="X116" s="505">
        <f>V116</f>
        <v>12035</v>
      </c>
      <c r="Y116" s="347">
        <v>6733</v>
      </c>
      <c r="Z116" s="347"/>
      <c r="AA116" s="347">
        <f>Y116</f>
        <v>6733</v>
      </c>
      <c r="AB116" s="347">
        <v>4692</v>
      </c>
      <c r="AC116" s="347"/>
      <c r="AD116" s="347">
        <f>AB116</f>
        <v>4692</v>
      </c>
      <c r="AE116" s="347">
        <v>4792</v>
      </c>
      <c r="AF116" s="347"/>
      <c r="AG116" s="347">
        <f>AE116</f>
        <v>4792</v>
      </c>
      <c r="AH116" s="347">
        <v>5482</v>
      </c>
      <c r="AI116" s="347"/>
      <c r="AJ116" s="505">
        <f>AH116</f>
        <v>5482</v>
      </c>
      <c r="AK116" s="347">
        <v>4072</v>
      </c>
      <c r="AL116" s="347"/>
      <c r="AM116" s="347">
        <f>AK116</f>
        <v>4072</v>
      </c>
      <c r="AN116" s="499" cm="1">
        <f t="array" ref="AN116">SUMPRODUCT((D$8:AK$8&lt;&gt;"Margin")*(D$8:AK$8&lt;&gt;"Salary_$600")*D116:AK116)</f>
        <v>78896</v>
      </c>
      <c r="AO116" s="499" cm="1">
        <f t="array" ref="AO116">SUMPRODUCT((D$8:AN$8="Margin")*D116:AN116)</f>
        <v>78896</v>
      </c>
      <c r="AP116" s="353"/>
      <c r="AQ116" s="364"/>
      <c r="AR116" s="369" t="s">
        <v>53</v>
      </c>
      <c r="AS116" s="498" t="s">
        <v>250</v>
      </c>
      <c r="AT116" s="157"/>
    </row>
    <row r="117" spans="1:46" s="168" customFormat="1">
      <c r="A117" s="346" t="s">
        <v>58</v>
      </c>
      <c r="B117" s="346" t="s">
        <v>54</v>
      </c>
      <c r="C117" s="346" t="s">
        <v>21</v>
      </c>
      <c r="D117" s="347">
        <v>14280</v>
      </c>
      <c r="E117" s="347"/>
      <c r="F117" s="347">
        <v>840</v>
      </c>
      <c r="G117" s="347">
        <v>12920</v>
      </c>
      <c r="H117" s="347"/>
      <c r="I117" s="347">
        <v>760</v>
      </c>
      <c r="J117" s="347">
        <v>5475</v>
      </c>
      <c r="K117" s="347"/>
      <c r="L117" s="347">
        <v>730</v>
      </c>
      <c r="M117" s="347">
        <v>13200</v>
      </c>
      <c r="N117" s="347"/>
      <c r="O117" s="347">
        <v>1760</v>
      </c>
      <c r="P117" s="347">
        <v>13200</v>
      </c>
      <c r="Q117" s="347"/>
      <c r="R117" s="347">
        <v>1760</v>
      </c>
      <c r="S117" s="347">
        <v>12600</v>
      </c>
      <c r="T117" s="347"/>
      <c r="U117" s="347">
        <v>1680</v>
      </c>
      <c r="V117" s="505">
        <v>13200</v>
      </c>
      <c r="W117" s="347"/>
      <c r="X117" s="347">
        <v>1760</v>
      </c>
      <c r="Y117" s="347">
        <v>12600</v>
      </c>
      <c r="Z117" s="347"/>
      <c r="AA117" s="347">
        <v>1680</v>
      </c>
      <c r="AB117" s="347">
        <v>22162</v>
      </c>
      <c r="AC117" s="347"/>
      <c r="AD117" s="347">
        <v>2955</v>
      </c>
      <c r="AE117" s="347">
        <v>0</v>
      </c>
      <c r="AF117" s="347"/>
      <c r="AG117" s="347"/>
      <c r="AH117" s="347">
        <v>0</v>
      </c>
      <c r="AI117" s="347"/>
      <c r="AJ117" s="505">
        <v>0</v>
      </c>
      <c r="AK117" s="347">
        <v>0</v>
      </c>
      <c r="AL117" s="347"/>
      <c r="AM117" s="347"/>
      <c r="AN117" s="499" cm="1">
        <f t="array" ref="AN117">SUMPRODUCT((D$8:AK$8&lt;&gt;"Margin")*(D$8:AK$8&lt;&gt;"Salary_$600")*D117:AK117)</f>
        <v>119637</v>
      </c>
      <c r="AO117" s="499" cm="1">
        <f t="array" ref="AO117">SUMPRODUCT((D$8:AN$8="Margin")*D117:AN117)</f>
        <v>13925</v>
      </c>
      <c r="AP117" s="353"/>
      <c r="AQ117" s="364"/>
      <c r="AR117" s="369" t="s">
        <v>427</v>
      </c>
      <c r="AS117" s="498" t="s">
        <v>250</v>
      </c>
      <c r="AT117" s="157"/>
    </row>
    <row r="118" spans="1:46" s="168" customFormat="1">
      <c r="A118" s="346" t="s">
        <v>59</v>
      </c>
      <c r="B118" s="346" t="s">
        <v>54</v>
      </c>
      <c r="C118" s="346" t="s">
        <v>21</v>
      </c>
      <c r="D118" s="347">
        <v>70392</v>
      </c>
      <c r="E118" s="347"/>
      <c r="F118" s="347">
        <v>7896</v>
      </c>
      <c r="G118" s="347">
        <v>65072</v>
      </c>
      <c r="H118" s="347"/>
      <c r="I118" s="347">
        <v>7232</v>
      </c>
      <c r="J118" s="347">
        <v>55272</v>
      </c>
      <c r="K118" s="347"/>
      <c r="L118" s="347">
        <v>4536</v>
      </c>
      <c r="M118" s="347">
        <v>57664</v>
      </c>
      <c r="N118" s="347"/>
      <c r="O118" s="347">
        <v>4680</v>
      </c>
      <c r="P118" s="347">
        <v>59466</v>
      </c>
      <c r="Q118" s="347"/>
      <c r="R118" s="347">
        <v>5410</v>
      </c>
      <c r="S118" s="347">
        <v>68170</v>
      </c>
      <c r="T118" s="347"/>
      <c r="U118" s="347">
        <v>7337</v>
      </c>
      <c r="V118" s="505">
        <v>69353</v>
      </c>
      <c r="W118" s="347"/>
      <c r="X118" s="347">
        <v>7496</v>
      </c>
      <c r="Y118" s="347">
        <v>65738</v>
      </c>
      <c r="Z118" s="347"/>
      <c r="AA118" s="347">
        <v>5578</v>
      </c>
      <c r="AB118" s="347">
        <v>84348</v>
      </c>
      <c r="AC118" s="347"/>
      <c r="AD118" s="347">
        <v>7334</v>
      </c>
      <c r="AE118" s="347">
        <v>84457.25</v>
      </c>
      <c r="AF118" s="347"/>
      <c r="AG118" s="347">
        <v>8406.4</v>
      </c>
      <c r="AH118" s="347">
        <v>62902</v>
      </c>
      <c r="AI118" s="347"/>
      <c r="AJ118" s="505">
        <v>7812</v>
      </c>
      <c r="AK118" s="505">
        <v>76710</v>
      </c>
      <c r="AL118" s="347"/>
      <c r="AM118" s="347">
        <v>9260</v>
      </c>
      <c r="AN118" s="499" cm="1">
        <f t="array" ref="AN118">SUMPRODUCT((D$8:AK$8&lt;&gt;"Margin")*(D$8:AK$8&lt;&gt;"Salary_$600")*D118:AK118)</f>
        <v>819544.25</v>
      </c>
      <c r="AO118" s="499" cm="1">
        <f t="array" ref="AO118">SUMPRODUCT((D$8:AN$8="Margin")*D118:AN118)</f>
        <v>82977.399999999994</v>
      </c>
      <c r="AP118" s="353"/>
      <c r="AQ118" s="364"/>
      <c r="AR118" s="369" t="s">
        <v>59</v>
      </c>
      <c r="AS118" s="498" t="s">
        <v>250</v>
      </c>
      <c r="AT118" s="157"/>
    </row>
    <row r="119" spans="1:46" s="168" customFormat="1">
      <c r="A119" s="346" t="s">
        <v>60</v>
      </c>
      <c r="B119" s="346" t="s">
        <v>54</v>
      </c>
      <c r="C119" s="346" t="s">
        <v>21</v>
      </c>
      <c r="D119" s="347">
        <v>0</v>
      </c>
      <c r="E119" s="347"/>
      <c r="F119" s="347">
        <v>0</v>
      </c>
      <c r="G119" s="347">
        <v>0</v>
      </c>
      <c r="H119" s="347"/>
      <c r="I119" s="347">
        <v>0</v>
      </c>
      <c r="J119" s="347">
        <v>0</v>
      </c>
      <c r="K119" s="347"/>
      <c r="L119" s="347"/>
      <c r="M119" s="347">
        <v>0</v>
      </c>
      <c r="N119" s="347"/>
      <c r="O119" s="347"/>
      <c r="P119" s="347">
        <v>0</v>
      </c>
      <c r="Q119" s="347"/>
      <c r="R119" s="347"/>
      <c r="S119" s="347">
        <v>840</v>
      </c>
      <c r="T119" s="347"/>
      <c r="U119" s="347">
        <f>S119</f>
        <v>840</v>
      </c>
      <c r="V119" s="347">
        <v>880</v>
      </c>
      <c r="W119" s="347"/>
      <c r="X119" s="347">
        <f>V119</f>
        <v>880</v>
      </c>
      <c r="Y119" s="347">
        <v>840</v>
      </c>
      <c r="Z119" s="347"/>
      <c r="AA119" s="347">
        <f>Y119</f>
        <v>840</v>
      </c>
      <c r="AB119" s="347">
        <v>840</v>
      </c>
      <c r="AC119" s="347"/>
      <c r="AD119" s="347">
        <f>AB119</f>
        <v>840</v>
      </c>
      <c r="AE119" s="347">
        <v>920</v>
      </c>
      <c r="AF119" s="347"/>
      <c r="AG119" s="347">
        <f>AE119</f>
        <v>920</v>
      </c>
      <c r="AH119" s="347">
        <v>720</v>
      </c>
      <c r="AI119" s="347"/>
      <c r="AJ119" s="505">
        <f>AH119</f>
        <v>720</v>
      </c>
      <c r="AK119" s="347">
        <v>960</v>
      </c>
      <c r="AL119" s="347"/>
      <c r="AM119" s="347">
        <f>AK119</f>
        <v>960</v>
      </c>
      <c r="AN119" s="499" cm="1">
        <f t="array" ref="AN119">SUMPRODUCT((D$8:AK$8&lt;&gt;"Margin")*(D$8:AK$8&lt;&gt;"Salary_$600")*D119:AK119)</f>
        <v>6000</v>
      </c>
      <c r="AO119" s="499" cm="1">
        <f t="array" ref="AO119">SUMPRODUCT((D$8:AN$8="Margin")*D119:AN119)</f>
        <v>6000</v>
      </c>
      <c r="AP119" s="353"/>
      <c r="AQ119" s="364"/>
      <c r="AR119" s="369" t="s">
        <v>60</v>
      </c>
      <c r="AS119" s="498" t="s">
        <v>250</v>
      </c>
      <c r="AT119" s="157"/>
    </row>
    <row r="120" spans="1:46" s="168" customFormat="1">
      <c r="A120" s="346" t="s">
        <v>70</v>
      </c>
      <c r="B120" s="346" t="s">
        <v>54</v>
      </c>
      <c r="C120" s="346" t="s">
        <v>21</v>
      </c>
      <c r="D120" s="347">
        <v>36696</v>
      </c>
      <c r="E120" s="347"/>
      <c r="F120" s="347">
        <v>4944</v>
      </c>
      <c r="G120" s="347">
        <v>34400</v>
      </c>
      <c r="H120" s="347"/>
      <c r="I120" s="347">
        <v>4640</v>
      </c>
      <c r="J120" s="347">
        <v>36120</v>
      </c>
      <c r="K120" s="347"/>
      <c r="L120" s="347">
        <v>4872</v>
      </c>
      <c r="M120" s="347">
        <v>35968</v>
      </c>
      <c r="N120" s="347"/>
      <c r="O120" s="347">
        <v>4870</v>
      </c>
      <c r="P120" s="347">
        <v>36696</v>
      </c>
      <c r="Q120" s="347"/>
      <c r="R120" s="347">
        <v>4944</v>
      </c>
      <c r="S120" s="347">
        <v>32680</v>
      </c>
      <c r="T120" s="347"/>
      <c r="U120" s="347">
        <v>4408</v>
      </c>
      <c r="V120" s="347">
        <v>35544</v>
      </c>
      <c r="W120" s="347"/>
      <c r="X120" s="347">
        <v>4800</v>
      </c>
      <c r="Y120" s="347">
        <v>34400</v>
      </c>
      <c r="Z120" s="347"/>
      <c r="AA120" s="347">
        <v>4640</v>
      </c>
      <c r="AB120" s="347">
        <v>33824</v>
      </c>
      <c r="AC120" s="347"/>
      <c r="AD120" s="347">
        <v>4568</v>
      </c>
      <c r="AE120" s="347">
        <v>24632</v>
      </c>
      <c r="AF120" s="347"/>
      <c r="AG120" s="347">
        <v>3440</v>
      </c>
      <c r="AH120" s="347">
        <v>10512</v>
      </c>
      <c r="AI120" s="347"/>
      <c r="AJ120" s="347">
        <v>1440</v>
      </c>
      <c r="AK120" s="347">
        <v>12264</v>
      </c>
      <c r="AL120" s="347"/>
      <c r="AM120" s="347">
        <v>1680</v>
      </c>
      <c r="AN120" s="499" cm="1">
        <f t="array" ref="AN120">SUMPRODUCT((D$8:AK$8&lt;&gt;"Margin")*(D$8:AK$8&lt;&gt;"Salary_$600")*D120:AK120)</f>
        <v>363736</v>
      </c>
      <c r="AO120" s="499" cm="1">
        <f t="array" ref="AO120">SUMPRODUCT((D$8:AN$8="Margin")*D120:AN120)</f>
        <v>49246</v>
      </c>
      <c r="AP120" s="353"/>
      <c r="AQ120" s="364"/>
      <c r="AR120" s="369" t="s">
        <v>56</v>
      </c>
      <c r="AS120" s="498" t="s">
        <v>250</v>
      </c>
      <c r="AT120" s="157"/>
    </row>
    <row r="121" spans="1:46" s="168" customFormat="1">
      <c r="A121" s="346" t="s">
        <v>61</v>
      </c>
      <c r="B121" s="346" t="s">
        <v>54</v>
      </c>
      <c r="C121" s="346" t="s">
        <v>21</v>
      </c>
      <c r="D121" s="347">
        <v>10080</v>
      </c>
      <c r="E121" s="347"/>
      <c r="F121" s="347">
        <v>184.8</v>
      </c>
      <c r="G121" s="347">
        <v>9120</v>
      </c>
      <c r="H121" s="347"/>
      <c r="I121" s="347">
        <v>167.2</v>
      </c>
      <c r="J121" s="347">
        <v>10080</v>
      </c>
      <c r="K121" s="347"/>
      <c r="L121" s="347">
        <v>184.8</v>
      </c>
      <c r="M121" s="347">
        <v>10560</v>
      </c>
      <c r="N121" s="347"/>
      <c r="O121" s="347">
        <v>193.6</v>
      </c>
      <c r="P121" s="347">
        <v>10080</v>
      </c>
      <c r="Q121" s="347"/>
      <c r="R121" s="347">
        <v>184.8</v>
      </c>
      <c r="S121" s="347">
        <v>10080</v>
      </c>
      <c r="T121" s="347"/>
      <c r="U121" s="347">
        <v>184.8</v>
      </c>
      <c r="V121" s="347">
        <v>10560</v>
      </c>
      <c r="W121" s="347"/>
      <c r="X121" s="347">
        <v>193.6</v>
      </c>
      <c r="Y121" s="347">
        <v>10080</v>
      </c>
      <c r="Z121" s="347"/>
      <c r="AA121" s="347">
        <v>184.8</v>
      </c>
      <c r="AB121" s="347">
        <v>10080</v>
      </c>
      <c r="AC121" s="347"/>
      <c r="AD121" s="347">
        <v>184.8</v>
      </c>
      <c r="AE121" s="347">
        <v>11040</v>
      </c>
      <c r="AF121" s="347"/>
      <c r="AG121" s="347">
        <v>202.4</v>
      </c>
      <c r="AH121" s="347">
        <v>8640</v>
      </c>
      <c r="AI121" s="347"/>
      <c r="AJ121" s="347">
        <v>158.4</v>
      </c>
      <c r="AK121" s="347">
        <v>10560</v>
      </c>
      <c r="AL121" s="347"/>
      <c r="AM121" s="347">
        <v>193.6</v>
      </c>
      <c r="AN121" s="499" cm="1">
        <f t="array" ref="AN121">SUMPRODUCT((D$8:AK$8&lt;&gt;"Margin")*(D$8:AK$8&lt;&gt;"Salary_$600")*D121:AK121)</f>
        <v>120960</v>
      </c>
      <c r="AO121" s="499" cm="1">
        <f t="array" ref="AO121">SUMPRODUCT((D$8:AN$8="Margin")*D121:AN121)</f>
        <v>2217.6</v>
      </c>
      <c r="AP121" s="353"/>
      <c r="AQ121" s="364"/>
      <c r="AR121" s="369" t="s">
        <v>61</v>
      </c>
      <c r="AS121" s="498" t="s">
        <v>250</v>
      </c>
      <c r="AT121" s="157"/>
    </row>
    <row r="122" spans="1:46" s="168" customFormat="1">
      <c r="A122" s="346" t="s">
        <v>67</v>
      </c>
      <c r="B122" s="346" t="s">
        <v>54</v>
      </c>
      <c r="C122" s="346" t="s">
        <v>21</v>
      </c>
      <c r="D122" s="347">
        <v>54790</v>
      </c>
      <c r="E122" s="347"/>
      <c r="F122" s="347">
        <v>1380</v>
      </c>
      <c r="G122" s="347">
        <v>31485</v>
      </c>
      <c r="H122" s="347"/>
      <c r="I122" s="347">
        <v>745</v>
      </c>
      <c r="J122" s="347">
        <v>32955</v>
      </c>
      <c r="K122" s="347"/>
      <c r="L122" s="347">
        <v>585</v>
      </c>
      <c r="M122" s="347">
        <v>30420</v>
      </c>
      <c r="N122" s="347"/>
      <c r="O122" s="347">
        <v>540</v>
      </c>
      <c r="P122" s="347">
        <v>28730</v>
      </c>
      <c r="Q122" s="347"/>
      <c r="R122" s="347">
        <v>510</v>
      </c>
      <c r="S122" s="347">
        <v>27040</v>
      </c>
      <c r="T122" s="347"/>
      <c r="U122" s="347">
        <v>480</v>
      </c>
      <c r="V122" s="347">
        <v>13520</v>
      </c>
      <c r="W122" s="347"/>
      <c r="X122" s="347">
        <v>240</v>
      </c>
      <c r="Y122" s="347">
        <v>27040</v>
      </c>
      <c r="Z122" s="347"/>
      <c r="AA122" s="347">
        <v>480</v>
      </c>
      <c r="AB122" s="347">
        <v>0</v>
      </c>
      <c r="AC122" s="347"/>
      <c r="AD122" s="347">
        <v>0</v>
      </c>
      <c r="AE122" s="347">
        <v>0</v>
      </c>
      <c r="AF122" s="347"/>
      <c r="AG122" s="347"/>
      <c r="AH122" s="347">
        <v>0</v>
      </c>
      <c r="AI122" s="347"/>
      <c r="AJ122" s="347"/>
      <c r="AK122" s="347">
        <v>0</v>
      </c>
      <c r="AL122" s="347"/>
      <c r="AM122" s="347"/>
      <c r="AN122" s="499" cm="1">
        <f t="array" ref="AN122">SUMPRODUCT((D$8:AK$8&lt;&gt;"Margin")*(D$8:AK$8&lt;&gt;"Salary_$600")*D122:AK122)</f>
        <v>245980</v>
      </c>
      <c r="AO122" s="499" cm="1">
        <f t="array" ref="AO122">SUMPRODUCT((D$8:AN$8="Margin")*D122:AN122)</f>
        <v>4960</v>
      </c>
      <c r="AP122" s="353"/>
      <c r="AQ122" s="364"/>
      <c r="AR122" s="369" t="s">
        <v>67</v>
      </c>
      <c r="AS122" s="498" t="s">
        <v>250</v>
      </c>
      <c r="AT122" s="157"/>
    </row>
    <row r="123" spans="1:46" s="168" customFormat="1">
      <c r="A123" s="348" t="s">
        <v>428</v>
      </c>
      <c r="B123" s="349"/>
      <c r="C123" s="349"/>
      <c r="D123" s="350">
        <f>SUM(D115:D122)</f>
        <v>196663</v>
      </c>
      <c r="E123" s="350"/>
      <c r="F123" s="350">
        <f>SUM(F115:F122)</f>
        <v>25669.8</v>
      </c>
      <c r="G123" s="350">
        <f>SUM(G115:G122)</f>
        <v>163216</v>
      </c>
      <c r="H123" s="350"/>
      <c r="I123" s="350">
        <f>SUM(I115:I122)</f>
        <v>23763.200000000001</v>
      </c>
      <c r="J123" s="350">
        <f>SUM(J115:J122)</f>
        <v>151503</v>
      </c>
      <c r="K123" s="350"/>
      <c r="L123" s="350">
        <f>SUM(L115:L122)</f>
        <v>22508.799999999999</v>
      </c>
      <c r="M123" s="350">
        <f>SUM(M115:M122)</f>
        <v>178167</v>
      </c>
      <c r="N123" s="350"/>
      <c r="O123" s="350">
        <f>SUM(O115:O122)</f>
        <v>42398.6</v>
      </c>
      <c r="P123" s="350">
        <f>SUM(P115:P122)</f>
        <v>155384</v>
      </c>
      <c r="Q123" s="350"/>
      <c r="R123" s="350">
        <f>SUM(R115:R122)</f>
        <v>20020.8</v>
      </c>
      <c r="S123" s="350">
        <f>SUM(S115:S122)</f>
        <v>159718</v>
      </c>
      <c r="T123" s="350"/>
      <c r="U123" s="350">
        <f>SUM(U115:U122)</f>
        <v>23237.8</v>
      </c>
      <c r="V123" s="350">
        <f>SUM(V115:V122)</f>
        <v>155092</v>
      </c>
      <c r="W123" s="350"/>
      <c r="X123" s="350">
        <f>SUM(X115:X122)</f>
        <v>27404.6</v>
      </c>
      <c r="Y123" s="350">
        <f>SUM(Y115:Y122)</f>
        <v>157431</v>
      </c>
      <c r="Z123" s="350"/>
      <c r="AA123" s="350">
        <f>SUM(AA115:AA122)</f>
        <v>20135.8</v>
      </c>
      <c r="AB123" s="350">
        <f>SUM(AB115:AB122)</f>
        <v>155946</v>
      </c>
      <c r="AC123" s="350"/>
      <c r="AD123" s="350">
        <f>SUM(AD115:AD122)</f>
        <v>20573.8</v>
      </c>
      <c r="AE123" s="350">
        <f>SUM(AE115:AE122)</f>
        <v>125841.25</v>
      </c>
      <c r="AF123" s="350"/>
      <c r="AG123" s="350">
        <f>SUM(AG115:AG122)</f>
        <v>17760.800000000003</v>
      </c>
      <c r="AH123" s="350">
        <f>SUM(AH115:AH122)</f>
        <v>88256</v>
      </c>
      <c r="AI123" s="350"/>
      <c r="AJ123" s="350">
        <f>SUM(AJ115:AJ122)</f>
        <v>15612.4</v>
      </c>
      <c r="AK123" s="350">
        <f>SUM(AK115:AK122)</f>
        <v>104566</v>
      </c>
      <c r="AL123" s="350"/>
      <c r="AM123" s="350">
        <f>SUM(AM115:AM122)</f>
        <v>16165.6</v>
      </c>
      <c r="AN123" s="350">
        <f>SUM(AN115:AN122)</f>
        <v>1791783.25</v>
      </c>
      <c r="AO123" s="350">
        <f>SUM(AO115:AO122)</f>
        <v>275252</v>
      </c>
      <c r="AP123" s="351"/>
      <c r="AQ123" s="365"/>
      <c r="AR123" s="369"/>
      <c r="AS123" s="498"/>
      <c r="AT123" s="157"/>
    </row>
    <row r="124" spans="1:46" s="168" customFormat="1">
      <c r="AN124" s="306"/>
      <c r="AO124" s="306"/>
      <c r="AP124" s="302"/>
      <c r="AQ124" s="285"/>
      <c r="AR124" s="368"/>
      <c r="AS124" s="498"/>
      <c r="AT124" s="157"/>
    </row>
    <row r="125" spans="1:46" s="168" customFormat="1">
      <c r="A125" s="273"/>
      <c r="B125" s="273"/>
      <c r="C125" s="273"/>
      <c r="AN125" s="306"/>
      <c r="AO125" s="306"/>
      <c r="AP125" s="302"/>
      <c r="AQ125" s="285"/>
      <c r="AR125" s="368"/>
      <c r="AS125" s="498"/>
      <c r="AT125" s="157"/>
    </row>
    <row r="126" spans="1:46" s="168" customFormat="1">
      <c r="A126" s="273"/>
      <c r="B126" s="273"/>
      <c r="C126" s="273"/>
      <c r="AN126" s="306"/>
      <c r="AO126" s="306"/>
      <c r="AP126" s="302"/>
      <c r="AQ126" s="285"/>
      <c r="AR126" s="368"/>
      <c r="AS126" s="498"/>
      <c r="AT126" s="157"/>
    </row>
    <row r="127" spans="1:46" s="168" customFormat="1">
      <c r="AQ127" s="363"/>
      <c r="AR127" s="368"/>
      <c r="AS127" s="498"/>
      <c r="AT127" s="157"/>
    </row>
    <row r="128" spans="1:46" s="168" customFormat="1">
      <c r="A128" s="307" t="s">
        <v>252</v>
      </c>
      <c r="B128" s="308"/>
      <c r="C128" s="308"/>
      <c r="D128" s="288">
        <v>0</v>
      </c>
      <c r="E128" s="304">
        <v>0</v>
      </c>
      <c r="F128" s="304">
        <v>0</v>
      </c>
      <c r="G128" s="289">
        <v>0</v>
      </c>
      <c r="H128" s="304">
        <v>0</v>
      </c>
      <c r="I128" s="304">
        <v>0</v>
      </c>
      <c r="J128" s="288">
        <v>0</v>
      </c>
      <c r="K128" s="174">
        <v>0</v>
      </c>
      <c r="L128" s="298">
        <v>0</v>
      </c>
      <c r="M128" s="289">
        <v>0</v>
      </c>
      <c r="N128" s="174">
        <v>0</v>
      </c>
      <c r="O128" s="298">
        <v>0</v>
      </c>
      <c r="P128" s="298">
        <v>0</v>
      </c>
      <c r="Q128" s="174">
        <v>0</v>
      </c>
      <c r="R128" s="298">
        <v>0</v>
      </c>
      <c r="S128" s="298">
        <v>0</v>
      </c>
      <c r="T128" s="174">
        <v>0</v>
      </c>
      <c r="U128" s="298">
        <v>0</v>
      </c>
      <c r="V128" s="298">
        <v>0</v>
      </c>
      <c r="W128" s="298">
        <v>0</v>
      </c>
      <c r="X128" s="298">
        <v>0</v>
      </c>
      <c r="Y128" s="298">
        <v>0</v>
      </c>
      <c r="Z128" s="298">
        <v>0</v>
      </c>
      <c r="AA128" s="298">
        <v>0</v>
      </c>
      <c r="AB128" s="298">
        <v>0</v>
      </c>
      <c r="AC128" s="298">
        <v>0</v>
      </c>
      <c r="AD128" s="298">
        <v>0</v>
      </c>
      <c r="AE128" s="298">
        <v>0</v>
      </c>
      <c r="AF128" s="298">
        <v>0</v>
      </c>
      <c r="AG128" s="298">
        <v>0</v>
      </c>
      <c r="AH128" s="298">
        <v>0</v>
      </c>
      <c r="AI128" s="298">
        <v>0</v>
      </c>
      <c r="AJ128" s="298">
        <v>0</v>
      </c>
      <c r="AK128" s="298">
        <v>0</v>
      </c>
      <c r="AL128" s="298">
        <v>0</v>
      </c>
      <c r="AM128" s="298">
        <v>0</v>
      </c>
      <c r="AN128" s="309">
        <v>0</v>
      </c>
      <c r="AO128" s="309">
        <v>0</v>
      </c>
      <c r="AP128" s="188"/>
      <c r="AQ128" s="341"/>
      <c r="AR128" s="368"/>
      <c r="AS128" s="498"/>
      <c r="AT128" s="157"/>
    </row>
    <row r="129" spans="1:46" s="168" customFormat="1">
      <c r="AQ129" s="363"/>
      <c r="AR129" s="368"/>
      <c r="AS129" s="498"/>
      <c r="AT129" s="157"/>
    </row>
    <row r="130" spans="1:46">
      <c r="A130" s="310" t="s">
        <v>429</v>
      </c>
      <c r="B130" s="311"/>
      <c r="C130" s="311"/>
      <c r="D130" s="288">
        <f>+D113+D123+D128</f>
        <v>368877.44</v>
      </c>
      <c r="E130" s="304">
        <f t="shared" ref="E130:AN130" si="16">+E113+E123+E128</f>
        <v>14964</v>
      </c>
      <c r="F130" s="304">
        <f t="shared" si="16"/>
        <v>49781.1</v>
      </c>
      <c r="G130" s="289">
        <f t="shared" si="16"/>
        <v>313239</v>
      </c>
      <c r="H130" s="304">
        <f t="shared" si="16"/>
        <v>13004</v>
      </c>
      <c r="I130" s="304">
        <f t="shared" si="16"/>
        <v>40767.040000000001</v>
      </c>
      <c r="J130" s="288">
        <f t="shared" si="16"/>
        <v>312314.95999999996</v>
      </c>
      <c r="K130" s="174">
        <f t="shared" si="16"/>
        <v>57466.880000000005</v>
      </c>
      <c r="L130" s="298">
        <f t="shared" si="16"/>
        <v>38279.519999999997</v>
      </c>
      <c r="M130" s="289">
        <f t="shared" si="16"/>
        <v>338040.44</v>
      </c>
      <c r="N130" s="174">
        <f t="shared" si="16"/>
        <v>51907.16</v>
      </c>
      <c r="O130" s="298">
        <f t="shared" si="16"/>
        <v>58855.259999999995</v>
      </c>
      <c r="P130" s="298">
        <f t="shared" si="16"/>
        <v>298956.59999999998</v>
      </c>
      <c r="Q130" s="174">
        <f t="shared" si="16"/>
        <v>46361.880000000005</v>
      </c>
      <c r="R130" s="298">
        <f t="shared" si="16"/>
        <v>36015.32</v>
      </c>
      <c r="S130" s="298">
        <f t="shared" si="16"/>
        <v>303224.95999999996</v>
      </c>
      <c r="T130" s="174">
        <f t="shared" si="16"/>
        <v>47798.6</v>
      </c>
      <c r="U130" s="298">
        <f t="shared" si="16"/>
        <v>38317.599999999999</v>
      </c>
      <c r="V130" s="298">
        <f t="shared" si="16"/>
        <v>322861.88</v>
      </c>
      <c r="W130" s="298">
        <f t="shared" si="16"/>
        <v>47446.16</v>
      </c>
      <c r="X130" s="298">
        <f t="shared" si="16"/>
        <v>51012.36</v>
      </c>
      <c r="Y130" s="298">
        <f t="shared" si="16"/>
        <v>322950</v>
      </c>
      <c r="Z130" s="298">
        <f t="shared" si="16"/>
        <v>9733</v>
      </c>
      <c r="AA130" s="298">
        <f t="shared" si="16"/>
        <v>40297.14</v>
      </c>
      <c r="AB130" s="298">
        <f t="shared" si="16"/>
        <v>334196.79277108435</v>
      </c>
      <c r="AC130" s="298">
        <f t="shared" si="16"/>
        <v>6894.53</v>
      </c>
      <c r="AD130" s="298">
        <f t="shared" si="16"/>
        <v>46823.842771084339</v>
      </c>
      <c r="AE130" s="298">
        <f t="shared" si="16"/>
        <v>316150.24</v>
      </c>
      <c r="AF130" s="298">
        <f t="shared" si="16"/>
        <v>4284.8795</v>
      </c>
      <c r="AG130" s="298">
        <f t="shared" si="16"/>
        <v>41367.810500000007</v>
      </c>
      <c r="AH130" s="298">
        <f t="shared" si="16"/>
        <v>229027.94270000001</v>
      </c>
      <c r="AI130" s="298">
        <f t="shared" si="16"/>
        <v>8815.5542000000005</v>
      </c>
      <c r="AJ130" s="298">
        <f t="shared" si="16"/>
        <v>38806.248500000002</v>
      </c>
      <c r="AK130" s="298">
        <f t="shared" si="16"/>
        <v>243856.28</v>
      </c>
      <c r="AL130" s="298">
        <f t="shared" si="16"/>
        <v>0</v>
      </c>
      <c r="AM130" s="298">
        <f t="shared" si="16"/>
        <v>31997.14</v>
      </c>
      <c r="AN130" s="309">
        <f t="shared" si="16"/>
        <v>3703696.5354710845</v>
      </c>
      <c r="AO130" s="309"/>
      <c r="AP130" s="188"/>
      <c r="AQ130" s="341"/>
      <c r="AR130" s="368"/>
      <c r="AS130" s="498"/>
      <c r="AT130" s="157"/>
    </row>
    <row r="131" spans="1:46" s="168" customFormat="1">
      <c r="AQ131" s="363"/>
      <c r="AR131" s="368"/>
      <c r="AS131" s="498"/>
      <c r="AT131" s="157"/>
    </row>
    <row r="132" spans="1:46" ht="15">
      <c r="A132" s="312" t="s">
        <v>253</v>
      </c>
      <c r="B132" s="168"/>
      <c r="C132" s="168"/>
      <c r="D132" s="313">
        <f>D130+D99</f>
        <v>789434.44</v>
      </c>
      <c r="E132" s="313"/>
      <c r="F132" s="313"/>
      <c r="G132" s="313">
        <f>G130+G99</f>
        <v>814466</v>
      </c>
      <c r="H132" s="313"/>
      <c r="I132" s="313"/>
      <c r="J132" s="313">
        <f>J130+J99</f>
        <v>970687.96</v>
      </c>
      <c r="K132" s="313"/>
      <c r="L132" s="313"/>
      <c r="M132" s="313">
        <f>M130+M99</f>
        <v>858770.44</v>
      </c>
      <c r="N132" s="313"/>
      <c r="O132" s="313"/>
      <c r="P132" s="313">
        <f>P130+P99</f>
        <v>763055.6</v>
      </c>
      <c r="Q132" s="313"/>
      <c r="R132" s="313"/>
      <c r="S132" s="313">
        <f>S130+S99</f>
        <v>781463.96</v>
      </c>
      <c r="T132" s="313"/>
      <c r="U132" s="313"/>
      <c r="V132" s="313">
        <f>V130+V99</f>
        <v>838540.88</v>
      </c>
      <c r="W132" s="313"/>
      <c r="X132" s="313"/>
      <c r="Y132" s="313">
        <f>Y130+Y99</f>
        <v>777113</v>
      </c>
      <c r="Z132" s="313"/>
      <c r="AA132" s="313"/>
      <c r="AB132" s="313">
        <f>AB130+AB99</f>
        <v>923705.79277108435</v>
      </c>
      <c r="AC132" s="313"/>
      <c r="AD132" s="313"/>
      <c r="AE132" s="313">
        <f>AE130+AE99</f>
        <v>951269.04</v>
      </c>
      <c r="AF132" s="313"/>
      <c r="AG132" s="313"/>
      <c r="AH132" s="313">
        <f>AH130+AH99</f>
        <v>704655.27603333327</v>
      </c>
      <c r="AI132" s="313"/>
      <c r="AJ132" s="313"/>
      <c r="AK132" s="313">
        <f>AK130+AK99</f>
        <v>886696.28</v>
      </c>
      <c r="AL132" s="313"/>
      <c r="AM132" s="313"/>
      <c r="AN132" s="313">
        <f>AN130+AN99</f>
        <v>10059858.668804418</v>
      </c>
      <c r="AO132" s="313"/>
      <c r="AP132" s="302"/>
      <c r="AQ132" s="285"/>
      <c r="AR132" s="368"/>
      <c r="AS132" s="498"/>
      <c r="AT132" s="157"/>
    </row>
    <row r="133" spans="1:46">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row>
    <row r="134" spans="1:46">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row>
    <row r="135" spans="1:46">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row>
    <row r="159" spans="42:43" s="168" customFormat="1">
      <c r="AP159" s="302"/>
      <c r="AQ159" s="303"/>
    </row>
    <row r="160" spans="42:43" s="168" customFormat="1">
      <c r="AP160" s="302"/>
      <c r="AQ160" s="303"/>
    </row>
  </sheetData>
  <conditionalFormatting sqref="E16 E18 AG40:AG52 AJ40:AJ52 AM40:AM52 L71:L88 O71:O88 R71:R88 U71:U88 AA71:AA88 L92:L93 O92:O93 R92:R93 U92:U93 AA92:AA93 L96:L99 O96:O99 R96:R99 U96:U99 AA96:AA99 L102:L111 O102:O111 R102:R111 L132 O132 R132 U132 AA132 F51:F67 I51:I67 L51:L67 O51:O67 R51:R67 U51:U67 X51:X67 AG65:AG67 AJ65:AJ67 AM65:AM67 AD11:AD67 AA11:AA67">
    <cfRule type="cellIs" dxfId="36" priority="63" operator="lessThan">
      <formula>0</formula>
    </cfRule>
  </conditionalFormatting>
  <conditionalFormatting sqref="E39:E42 U111 X111 AA111 AD111 AG111 AJ111 AM111">
    <cfRule type="cellIs" dxfId="35" priority="62" operator="lessThan">
      <formula>0</formula>
    </cfRule>
  </conditionalFormatting>
  <conditionalFormatting sqref="E53">
    <cfRule type="cellIs" dxfId="34" priority="32" operator="lessThan">
      <formula>0</formula>
    </cfRule>
  </conditionalFormatting>
  <conditionalFormatting sqref="AM19:AM29 E27 AJ56:AJ59 AM56:AM59 F109:F111 I109:I111 L113 O113 R113 AJ19:AJ29 AG19:AG29 AM11:AM13 AJ11:AJ13 AG11:AG13 F11:F48 I10:I48 L11:L48 O11:O48 R11:R48 U11:U48 X11:X48">
    <cfRule type="cellIs" dxfId="33" priority="61" operator="lessThan">
      <formula>0</formula>
    </cfRule>
  </conditionalFormatting>
  <conditionalFormatting sqref="H27">
    <cfRule type="cellIs" dxfId="32" priority="60" operator="lessThan">
      <formula>0</formula>
    </cfRule>
  </conditionalFormatting>
  <conditionalFormatting sqref="L128 O128 R128">
    <cfRule type="cellIs" dxfId="31" priority="43" operator="lessThan">
      <formula>0</formula>
    </cfRule>
  </conditionalFormatting>
  <conditionalFormatting sqref="L130 O130 R130">
    <cfRule type="cellIs" dxfId="30" priority="41" operator="lessThan">
      <formula>0</formula>
    </cfRule>
  </conditionalFormatting>
  <conditionalFormatting sqref="U128">
    <cfRule type="cellIs" dxfId="29" priority="44" operator="lessThan">
      <formula>0</formula>
    </cfRule>
  </conditionalFormatting>
  <conditionalFormatting sqref="U130">
    <cfRule type="cellIs" dxfId="28" priority="42" operator="lessThan">
      <formula>0</formula>
    </cfRule>
  </conditionalFormatting>
  <conditionalFormatting sqref="AG15">
    <cfRule type="cellIs" dxfId="27" priority="117" operator="lessThan">
      <formula>0</formula>
    </cfRule>
  </conditionalFormatting>
  <conditionalFormatting sqref="AG17">
    <cfRule type="cellIs" dxfId="26" priority="59" operator="lessThan">
      <formula>0</formula>
    </cfRule>
  </conditionalFormatting>
  <conditionalFormatting sqref="AG34:AG35 AG37">
    <cfRule type="cellIs" dxfId="25" priority="101" operator="lessThan">
      <formula>0</formula>
    </cfRule>
  </conditionalFormatting>
  <conditionalFormatting sqref="AG54:AG59">
    <cfRule type="cellIs" dxfId="24" priority="13" operator="lessThan">
      <formula>0</formula>
    </cfRule>
  </conditionalFormatting>
  <conditionalFormatting sqref="AG62:AG63">
    <cfRule type="cellIs" dxfId="23" priority="28" operator="lessThan">
      <formula>0</formula>
    </cfRule>
  </conditionalFormatting>
  <conditionalFormatting sqref="AJ15">
    <cfRule type="cellIs" dxfId="22" priority="116" operator="lessThan">
      <formula>0</formula>
    </cfRule>
  </conditionalFormatting>
  <conditionalFormatting sqref="AJ17">
    <cfRule type="cellIs" dxfId="21" priority="58" operator="lessThan">
      <formula>0</formula>
    </cfRule>
  </conditionalFormatting>
  <conditionalFormatting sqref="AJ34:AJ35">
    <cfRule type="cellIs" dxfId="20" priority="100" operator="lessThan">
      <formula>0</formula>
    </cfRule>
  </conditionalFormatting>
  <conditionalFormatting sqref="AJ62:AJ63">
    <cfRule type="cellIs" dxfId="19" priority="30" operator="lessThan">
      <formula>0</formula>
    </cfRule>
  </conditionalFormatting>
  <conditionalFormatting sqref="AM15">
    <cfRule type="cellIs" dxfId="18" priority="115" operator="lessThan">
      <formula>0</formula>
    </cfRule>
  </conditionalFormatting>
  <conditionalFormatting sqref="AM17">
    <cfRule type="cellIs" dxfId="17" priority="57" operator="lessThan">
      <formula>0</formula>
    </cfRule>
  </conditionalFormatting>
  <conditionalFormatting sqref="AM34:AM35">
    <cfRule type="cellIs" dxfId="16" priority="99" operator="lessThan">
      <formula>0</formula>
    </cfRule>
  </conditionalFormatting>
  <conditionalFormatting sqref="AM62:AM63">
    <cfRule type="cellIs" dxfId="15" priority="29" operator="lessThan">
      <formula>0</formula>
    </cfRule>
  </conditionalFormatting>
  <conditionalFormatting sqref="F69 I69 L69 O69 R69 U69 X69 AG69 AJ69 AM69 AD69 AA69">
    <cfRule type="cellIs" dxfId="14"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CDB3-1E15-4F34-BD95-09DA3E1D4E6A}">
  <dimension ref="A1:F13"/>
  <sheetViews>
    <sheetView workbookViewId="0">
      <selection activeCell="F9" sqref="F9"/>
    </sheetView>
  </sheetViews>
  <sheetFormatPr defaultRowHeight="12.75"/>
  <sheetData>
    <row r="1" spans="1:6">
      <c r="A1" t="s">
        <v>430</v>
      </c>
      <c r="B1" t="s">
        <v>431</v>
      </c>
      <c r="C1" t="s">
        <v>432</v>
      </c>
    </row>
    <row r="2" spans="1:6">
      <c r="A2" t="s">
        <v>4</v>
      </c>
      <c r="B2">
        <v>21</v>
      </c>
      <c r="C2">
        <f>B2*8</f>
        <v>168</v>
      </c>
      <c r="D2">
        <f>C2*35</f>
        <v>5880</v>
      </c>
    </row>
    <row r="3" spans="1:6">
      <c r="A3" t="s">
        <v>5</v>
      </c>
      <c r="B3">
        <v>20</v>
      </c>
      <c r="C3">
        <f t="shared" ref="C3:C13" si="0">B3*8</f>
        <v>160</v>
      </c>
      <c r="D3">
        <f t="shared" ref="D3:D13" si="1">C3*35</f>
        <v>5600</v>
      </c>
    </row>
    <row r="4" spans="1:6">
      <c r="A4" t="s">
        <v>6</v>
      </c>
      <c r="B4">
        <v>21</v>
      </c>
      <c r="C4">
        <f t="shared" si="0"/>
        <v>168</v>
      </c>
      <c r="D4">
        <f t="shared" si="1"/>
        <v>5880</v>
      </c>
    </row>
    <row r="5" spans="1:6">
      <c r="A5" t="s">
        <v>7</v>
      </c>
      <c r="B5">
        <v>22</v>
      </c>
      <c r="C5">
        <f t="shared" si="0"/>
        <v>176</v>
      </c>
      <c r="D5">
        <f t="shared" si="1"/>
        <v>6160</v>
      </c>
    </row>
    <row r="6" spans="1:6">
      <c r="A6" t="s">
        <v>8</v>
      </c>
      <c r="B6">
        <v>21</v>
      </c>
      <c r="C6">
        <f t="shared" si="0"/>
        <v>168</v>
      </c>
      <c r="D6">
        <f t="shared" si="1"/>
        <v>5880</v>
      </c>
    </row>
    <row r="7" spans="1:6">
      <c r="A7" t="s">
        <v>9</v>
      </c>
      <c r="B7">
        <v>22</v>
      </c>
      <c r="C7">
        <f t="shared" si="0"/>
        <v>176</v>
      </c>
      <c r="D7">
        <f t="shared" si="1"/>
        <v>6160</v>
      </c>
    </row>
    <row r="8" spans="1:6">
      <c r="A8" t="s">
        <v>10</v>
      </c>
      <c r="B8">
        <v>23</v>
      </c>
      <c r="C8">
        <f t="shared" si="0"/>
        <v>184</v>
      </c>
      <c r="D8">
        <f t="shared" si="1"/>
        <v>6440</v>
      </c>
      <c r="F8">
        <f>(184-120)*35</f>
        <v>2240</v>
      </c>
    </row>
    <row r="9" spans="1:6">
      <c r="A9" t="s">
        <v>11</v>
      </c>
      <c r="B9">
        <v>20</v>
      </c>
      <c r="C9">
        <f t="shared" si="0"/>
        <v>160</v>
      </c>
      <c r="D9">
        <f t="shared" si="1"/>
        <v>5600</v>
      </c>
    </row>
    <row r="10" spans="1:6">
      <c r="A10" t="s">
        <v>12</v>
      </c>
      <c r="B10">
        <v>22</v>
      </c>
      <c r="C10">
        <f t="shared" si="0"/>
        <v>176</v>
      </c>
      <c r="D10">
        <f t="shared" si="1"/>
        <v>6160</v>
      </c>
    </row>
    <row r="11" spans="1:6">
      <c r="A11" t="s">
        <v>13</v>
      </c>
      <c r="B11">
        <v>21</v>
      </c>
      <c r="C11">
        <f t="shared" si="0"/>
        <v>168</v>
      </c>
      <c r="D11">
        <f t="shared" si="1"/>
        <v>5880</v>
      </c>
    </row>
    <row r="12" spans="1:6">
      <c r="A12" t="s">
        <v>14</v>
      </c>
      <c r="B12">
        <v>18</v>
      </c>
      <c r="C12">
        <f t="shared" si="0"/>
        <v>144</v>
      </c>
      <c r="D12">
        <f t="shared" si="1"/>
        <v>5040</v>
      </c>
    </row>
    <row r="13" spans="1:6">
      <c r="A13" t="s">
        <v>15</v>
      </c>
      <c r="B13">
        <v>14</v>
      </c>
      <c r="C13">
        <f t="shared" si="0"/>
        <v>112</v>
      </c>
      <c r="D13">
        <f t="shared" si="1"/>
        <v>3920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B29B-BC79-42E8-BC39-E8899059136A}">
  <sheetPr codeName="Sheet4"/>
  <dimension ref="A1:C13"/>
  <sheetViews>
    <sheetView workbookViewId="0">
      <selection activeCell="B13" sqref="B13"/>
    </sheetView>
  </sheetViews>
  <sheetFormatPr defaultRowHeight="12.75"/>
  <sheetData>
    <row r="1" spans="1:3">
      <c r="A1" t="s">
        <v>430</v>
      </c>
      <c r="B1" t="s">
        <v>431</v>
      </c>
      <c r="C1" t="s">
        <v>432</v>
      </c>
    </row>
    <row r="2" spans="1:3">
      <c r="A2" t="s">
        <v>4</v>
      </c>
      <c r="B2">
        <v>22</v>
      </c>
      <c r="C2">
        <f>B2*8</f>
        <v>176</v>
      </c>
    </row>
    <row r="3" spans="1:3">
      <c r="A3" t="s">
        <v>5</v>
      </c>
      <c r="B3">
        <v>19</v>
      </c>
      <c r="C3">
        <f t="shared" ref="C3:C13" si="0">B3*8</f>
        <v>152</v>
      </c>
    </row>
    <row r="4" spans="1:3">
      <c r="A4" t="s">
        <v>6</v>
      </c>
      <c r="B4">
        <v>20</v>
      </c>
      <c r="C4">
        <f t="shared" si="0"/>
        <v>160</v>
      </c>
    </row>
    <row r="5" spans="1:3">
      <c r="A5" t="s">
        <v>7</v>
      </c>
      <c r="B5">
        <v>22</v>
      </c>
      <c r="C5">
        <f t="shared" si="0"/>
        <v>176</v>
      </c>
    </row>
    <row r="6" spans="1:3">
      <c r="A6" t="s">
        <v>8</v>
      </c>
      <c r="B6">
        <v>22</v>
      </c>
      <c r="C6">
        <f t="shared" si="0"/>
        <v>176</v>
      </c>
    </row>
    <row r="7" spans="1:3">
      <c r="A7" t="s">
        <v>9</v>
      </c>
      <c r="B7">
        <v>21</v>
      </c>
      <c r="C7">
        <f t="shared" si="0"/>
        <v>168</v>
      </c>
    </row>
    <row r="8" spans="1:3">
      <c r="A8" t="s">
        <v>10</v>
      </c>
      <c r="B8">
        <v>23</v>
      </c>
      <c r="C8">
        <f t="shared" si="0"/>
        <v>184</v>
      </c>
    </row>
    <row r="9" spans="1:3">
      <c r="A9" t="s">
        <v>11</v>
      </c>
      <c r="B9">
        <v>20</v>
      </c>
      <c r="C9">
        <f t="shared" si="0"/>
        <v>160</v>
      </c>
    </row>
    <row r="10" spans="1:3">
      <c r="A10" t="s">
        <v>12</v>
      </c>
      <c r="B10">
        <v>22</v>
      </c>
      <c r="C10">
        <f t="shared" si="0"/>
        <v>176</v>
      </c>
    </row>
    <row r="11" spans="1:3">
      <c r="A11" t="s">
        <v>13</v>
      </c>
      <c r="B11">
        <v>20</v>
      </c>
      <c r="C11">
        <f t="shared" si="0"/>
        <v>160</v>
      </c>
    </row>
    <row r="12" spans="1:3">
      <c r="A12" t="s">
        <v>14</v>
      </c>
      <c r="B12">
        <v>19</v>
      </c>
      <c r="C12">
        <f t="shared" si="0"/>
        <v>152</v>
      </c>
    </row>
    <row r="13" spans="1:3">
      <c r="A13" t="s">
        <v>15</v>
      </c>
      <c r="B13">
        <v>17</v>
      </c>
      <c r="C13">
        <f t="shared" si="0"/>
        <v>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BF76-879A-4886-AEAA-2F0D257DB76B}">
  <dimension ref="A4:BS28"/>
  <sheetViews>
    <sheetView workbookViewId="0"/>
  </sheetViews>
  <sheetFormatPr defaultRowHeight="12.75"/>
  <cols>
    <col min="1" max="1" width="84" customWidth="1"/>
    <col min="2" max="2" width="6.7109375" customWidth="1"/>
    <col min="3" max="3" width="7.42578125" customWidth="1"/>
    <col min="4" max="4" width="8.85546875" customWidth="1"/>
    <col min="5" max="6" width="6.5703125" customWidth="1"/>
    <col min="7" max="7" width="8.85546875" customWidth="1"/>
    <col min="8" max="9" width="6.7109375" customWidth="1"/>
    <col min="10" max="11" width="8.85546875" customWidth="1"/>
    <col min="12" max="12" width="7.85546875" customWidth="1"/>
    <col min="13" max="17" width="8.85546875" customWidth="1"/>
    <col min="18" max="18" width="7.85546875" customWidth="1"/>
    <col min="19" max="25" width="8.85546875" customWidth="1"/>
    <col min="26" max="26" width="7" customWidth="1"/>
    <col min="27" max="27" width="7.85546875" customWidth="1"/>
    <col min="28" max="28" width="8.85546875" customWidth="1"/>
    <col min="29" max="29" width="6.85546875" customWidth="1"/>
    <col min="30" max="30" width="7.85546875" customWidth="1"/>
    <col min="31" max="31" width="8.85546875" customWidth="1"/>
    <col min="32" max="32" width="6.5703125" customWidth="1"/>
    <col min="33" max="33" width="7.85546875" customWidth="1"/>
    <col min="34" max="34" width="8.85546875" customWidth="1"/>
    <col min="35" max="35" width="6.85546875" customWidth="1"/>
    <col min="36" max="36" width="7.85546875" customWidth="1"/>
    <col min="37" max="37" width="8.85546875" customWidth="1"/>
    <col min="38" max="38" width="6.85546875" customWidth="1"/>
    <col min="39" max="39" width="7.85546875" customWidth="1"/>
    <col min="40" max="40" width="14" customWidth="1"/>
    <col min="41" max="41" width="10.7109375" customWidth="1"/>
    <col min="42" max="42" width="8.42578125" customWidth="1"/>
    <col min="43" max="43" width="18.28515625" customWidth="1"/>
  </cols>
  <sheetData>
    <row r="4" spans="1:71" ht="22.5">
      <c r="A4" s="126" t="s">
        <v>1</v>
      </c>
      <c r="B4" s="126" t="s">
        <v>2</v>
      </c>
      <c r="C4" s="126" t="s">
        <v>3</v>
      </c>
      <c r="D4" s="160">
        <v>45658</v>
      </c>
      <c r="E4" s="160">
        <v>45658</v>
      </c>
      <c r="F4" s="160">
        <v>45658</v>
      </c>
      <c r="G4" s="161">
        <v>45689</v>
      </c>
      <c r="H4" s="161">
        <v>45689</v>
      </c>
      <c r="I4" s="161">
        <v>45689</v>
      </c>
      <c r="J4" s="160">
        <v>45717</v>
      </c>
      <c r="K4" s="125">
        <v>45741</v>
      </c>
      <c r="L4" s="125">
        <v>45741</v>
      </c>
      <c r="M4" s="161">
        <v>45748</v>
      </c>
      <c r="N4" s="125">
        <v>45772</v>
      </c>
      <c r="O4" s="125">
        <v>45772</v>
      </c>
      <c r="P4" s="125">
        <v>45778</v>
      </c>
      <c r="Q4" s="125">
        <v>45778</v>
      </c>
      <c r="R4" s="125">
        <v>45802</v>
      </c>
      <c r="S4" s="125">
        <v>45809</v>
      </c>
      <c r="T4" s="125">
        <v>45809</v>
      </c>
      <c r="U4" s="125">
        <v>45809</v>
      </c>
      <c r="V4" s="125">
        <v>45839</v>
      </c>
      <c r="W4" s="125">
        <v>45839</v>
      </c>
      <c r="X4" s="125">
        <v>45839</v>
      </c>
      <c r="Y4" s="125">
        <v>45870</v>
      </c>
      <c r="Z4" s="125">
        <v>45870</v>
      </c>
      <c r="AA4" s="125">
        <v>45870</v>
      </c>
      <c r="AB4" s="125">
        <v>45901</v>
      </c>
      <c r="AC4" s="125">
        <v>45901</v>
      </c>
      <c r="AD4" s="125">
        <v>45901</v>
      </c>
      <c r="AE4" s="125">
        <v>45931</v>
      </c>
      <c r="AF4" s="125">
        <v>45931</v>
      </c>
      <c r="AG4" s="125">
        <v>45931</v>
      </c>
      <c r="AH4" s="125">
        <v>45962</v>
      </c>
      <c r="AI4" s="125">
        <v>45962</v>
      </c>
      <c r="AJ4" s="125">
        <v>45962</v>
      </c>
      <c r="AK4" s="125">
        <v>45992</v>
      </c>
      <c r="AL4" s="125">
        <v>45992</v>
      </c>
      <c r="AM4" s="125">
        <v>45992</v>
      </c>
      <c r="AN4" s="125" t="s">
        <v>328</v>
      </c>
      <c r="AO4" s="125" t="s">
        <v>77</v>
      </c>
      <c r="AP4" s="6" t="s">
        <v>17</v>
      </c>
      <c r="AQ4" s="126" t="s">
        <v>18</v>
      </c>
    </row>
    <row r="5" spans="1:71" s="4" customFormat="1" ht="15">
      <c r="A5" s="166" t="s">
        <v>433</v>
      </c>
      <c r="B5" s="166"/>
      <c r="C5" s="166"/>
      <c r="D5" s="166"/>
      <c r="E5" s="166"/>
      <c r="F5" s="166"/>
      <c r="G5" s="166"/>
      <c r="H5"/>
      <c r="I5"/>
      <c r="J5" s="162"/>
      <c r="K5"/>
      <c r="L5"/>
      <c r="M5"/>
      <c r="N5"/>
      <c r="O5"/>
      <c r="P5" s="129"/>
      <c r="Q5"/>
      <c r="R5" s="129"/>
      <c r="S5" s="129"/>
      <c r="T5"/>
      <c r="U5" s="129"/>
      <c r="V5" s="129"/>
      <c r="W5" s="129"/>
      <c r="X5" s="129"/>
      <c r="Y5" s="129"/>
      <c r="Z5" s="129"/>
      <c r="AA5" s="129"/>
      <c r="AB5" s="129"/>
      <c r="AC5" s="129"/>
      <c r="AD5" s="129"/>
      <c r="AE5" s="129"/>
      <c r="AF5" s="129"/>
      <c r="AG5" s="129"/>
      <c r="AH5" s="129"/>
      <c r="AI5" s="129"/>
      <c r="AJ5" s="129"/>
      <c r="AK5" s="129"/>
      <c r="AL5" s="129"/>
      <c r="AM5" s="129"/>
      <c r="AN5" s="129"/>
      <c r="AO5" s="129"/>
      <c r="AP5" s="183"/>
      <c r="AQ5" s="179"/>
      <c r="AR5"/>
      <c r="AS5"/>
      <c r="AT5"/>
      <c r="AU5"/>
      <c r="AV5"/>
      <c r="AW5"/>
      <c r="AX5"/>
      <c r="AY5"/>
      <c r="AZ5"/>
      <c r="BA5"/>
      <c r="BB5"/>
      <c r="BC5"/>
      <c r="BD5"/>
      <c r="BE5"/>
      <c r="BF5"/>
      <c r="BG5"/>
      <c r="BH5"/>
      <c r="BI5"/>
      <c r="BJ5"/>
      <c r="BK5"/>
      <c r="BL5"/>
      <c r="BM5"/>
      <c r="BN5"/>
      <c r="BO5"/>
      <c r="BP5"/>
      <c r="BQ5"/>
      <c r="BR5"/>
      <c r="BS5"/>
    </row>
    <row r="6" spans="1:71" s="4" customFormat="1">
      <c r="A6" s="163"/>
      <c r="B6" s="163"/>
      <c r="C6" s="164"/>
      <c r="D6" s="164"/>
      <c r="E6" s="164"/>
      <c r="F6" s="164"/>
      <c r="G6" s="164"/>
      <c r="H6" s="164"/>
      <c r="I6" s="164"/>
      <c r="J6" s="164"/>
      <c r="K6" s="164"/>
      <c r="L6" s="164"/>
      <c r="M6" s="164"/>
      <c r="N6" s="164"/>
      <c r="O6" s="164"/>
      <c r="P6" s="163"/>
      <c r="Q6" s="164"/>
      <c r="R6" s="163"/>
      <c r="S6" s="163"/>
      <c r="T6" s="164"/>
      <c r="U6" s="163"/>
      <c r="V6" s="163"/>
      <c r="W6" s="163"/>
      <c r="X6" s="163"/>
      <c r="Y6" s="163"/>
      <c r="Z6" s="163"/>
      <c r="AA6" s="163"/>
      <c r="AB6" s="163"/>
      <c r="AC6" s="163"/>
      <c r="AD6" s="163"/>
      <c r="AE6" s="163"/>
      <c r="AF6" s="163"/>
      <c r="AG6" s="163"/>
      <c r="AH6" s="163"/>
      <c r="AI6" s="163"/>
      <c r="AJ6" s="163"/>
      <c r="AK6" s="163"/>
      <c r="AL6" s="163"/>
      <c r="AM6" s="163"/>
      <c r="AN6" s="165"/>
      <c r="AO6" s="165"/>
      <c r="AP6" s="186"/>
      <c r="AQ6" s="180"/>
      <c r="AR6"/>
      <c r="AS6"/>
      <c r="AT6"/>
      <c r="AU6"/>
      <c r="AV6"/>
      <c r="AW6"/>
      <c r="AX6"/>
      <c r="AY6"/>
      <c r="AZ6"/>
      <c r="BA6"/>
      <c r="BB6"/>
      <c r="BC6"/>
      <c r="BD6"/>
      <c r="BE6"/>
      <c r="BF6"/>
      <c r="BG6"/>
      <c r="BH6"/>
      <c r="BI6"/>
      <c r="BJ6"/>
      <c r="BK6"/>
      <c r="BL6"/>
      <c r="BM6"/>
      <c r="BN6"/>
      <c r="BO6"/>
      <c r="BP6"/>
      <c r="BQ6"/>
      <c r="BR6"/>
      <c r="BS6"/>
    </row>
    <row r="7" spans="1:71" s="4" customFormat="1">
      <c r="C7"/>
      <c r="D7"/>
      <c r="E7"/>
      <c r="F7"/>
      <c r="G7"/>
      <c r="H7"/>
      <c r="I7"/>
      <c r="J7"/>
      <c r="K7"/>
      <c r="L7"/>
      <c r="M7"/>
      <c r="N7"/>
      <c r="O7"/>
      <c r="Q7"/>
      <c r="T7"/>
      <c r="AP7" s="183"/>
      <c r="AQ7" s="179"/>
      <c r="AR7"/>
      <c r="AS7"/>
      <c r="AT7"/>
      <c r="AU7"/>
      <c r="AV7"/>
      <c r="AW7"/>
      <c r="AX7"/>
      <c r="AY7"/>
      <c r="AZ7"/>
      <c r="BA7"/>
      <c r="BB7"/>
      <c r="BC7"/>
      <c r="BD7"/>
      <c r="BE7"/>
      <c r="BF7"/>
      <c r="BG7"/>
      <c r="BH7"/>
      <c r="BI7"/>
      <c r="BJ7"/>
      <c r="BK7"/>
      <c r="BL7"/>
      <c r="BM7"/>
      <c r="BN7"/>
      <c r="BO7"/>
      <c r="BP7"/>
      <c r="BQ7"/>
      <c r="BR7"/>
      <c r="BS7"/>
    </row>
    <row r="8" spans="1:71" s="4" customFormat="1">
      <c r="C8"/>
      <c r="D8"/>
      <c r="E8"/>
      <c r="F8"/>
      <c r="G8"/>
      <c r="H8"/>
      <c r="I8"/>
      <c r="J8"/>
      <c r="K8"/>
      <c r="L8"/>
      <c r="M8"/>
      <c r="N8"/>
      <c r="O8"/>
      <c r="Q8"/>
      <c r="T8"/>
      <c r="AP8" s="183"/>
      <c r="AQ8" s="179"/>
      <c r="AR8"/>
      <c r="AS8"/>
      <c r="AT8"/>
      <c r="AU8"/>
      <c r="AV8"/>
      <c r="AW8"/>
      <c r="AX8"/>
      <c r="AY8"/>
      <c r="AZ8"/>
      <c r="BA8"/>
      <c r="BB8"/>
      <c r="BC8"/>
      <c r="BD8"/>
      <c r="BE8"/>
      <c r="BF8"/>
      <c r="BG8"/>
      <c r="BH8"/>
      <c r="BI8"/>
      <c r="BJ8"/>
      <c r="BK8"/>
      <c r="BL8"/>
      <c r="BM8"/>
      <c r="BN8"/>
      <c r="BO8"/>
      <c r="BP8"/>
      <c r="BQ8"/>
      <c r="BR8"/>
      <c r="BS8"/>
    </row>
    <row r="9" spans="1:71" s="4" customFormat="1">
      <c r="A9" s="128" t="s">
        <v>434</v>
      </c>
      <c r="B9" s="128" t="s">
        <v>54</v>
      </c>
      <c r="C9" s="128" t="s">
        <v>21</v>
      </c>
      <c r="D9" s="130">
        <v>5988.5</v>
      </c>
      <c r="E9"/>
      <c r="F9"/>
      <c r="G9" s="130">
        <v>5264</v>
      </c>
      <c r="H9"/>
      <c r="I9"/>
      <c r="J9" s="130">
        <v>5684</v>
      </c>
      <c r="K9" s="130">
        <v>0</v>
      </c>
      <c r="L9" s="130">
        <v>5684</v>
      </c>
      <c r="M9" s="130">
        <v>20092.8</v>
      </c>
      <c r="N9" s="130">
        <v>0</v>
      </c>
      <c r="O9" s="130">
        <v>20093</v>
      </c>
      <c r="P9" s="130">
        <v>0</v>
      </c>
      <c r="Q9" s="130">
        <v>0</v>
      </c>
      <c r="R9" s="130">
        <v>0</v>
      </c>
      <c r="S9" s="130">
        <v>0</v>
      </c>
      <c r="T9" s="130">
        <v>0</v>
      </c>
      <c r="U9" s="130">
        <v>0</v>
      </c>
      <c r="V9" s="130">
        <v>0</v>
      </c>
      <c r="W9" s="130">
        <v>0</v>
      </c>
      <c r="X9" s="130"/>
      <c r="Y9" s="130">
        <v>0</v>
      </c>
      <c r="Z9" s="130"/>
      <c r="AA9" s="130"/>
      <c r="AB9" s="130">
        <v>0</v>
      </c>
      <c r="AC9" s="130"/>
      <c r="AD9" s="130"/>
      <c r="AE9" s="130">
        <v>0</v>
      </c>
      <c r="AF9" s="130"/>
      <c r="AG9" s="130"/>
      <c r="AH9" s="130">
        <v>0</v>
      </c>
      <c r="AI9" s="130"/>
      <c r="AJ9" s="130"/>
      <c r="AK9" s="130">
        <v>0</v>
      </c>
      <c r="AL9" s="130"/>
      <c r="AM9" s="130"/>
      <c r="AN9" s="131" cm="1">
        <f t="array" ref="AN9">SUMPRODUCT(('Sales by Customer- 2025'!D$8:AK$8&lt;&gt;"Margin")*('Sales by Customer- 2025'!D$8:AK$8&lt;&gt;"Salary_$600")*D9:AK9)</f>
        <v>37029.300000000003</v>
      </c>
      <c r="AO9" s="131"/>
      <c r="AP9" s="185"/>
      <c r="AQ9" s="178"/>
      <c r="AR9"/>
      <c r="AS9"/>
      <c r="AT9"/>
      <c r="AU9"/>
      <c r="AV9"/>
      <c r="AW9"/>
      <c r="AX9"/>
      <c r="AY9"/>
      <c r="AZ9"/>
      <c r="BA9"/>
      <c r="BB9"/>
      <c r="BC9"/>
      <c r="BD9"/>
      <c r="BE9"/>
      <c r="BF9"/>
      <c r="BG9"/>
      <c r="BH9"/>
      <c r="BI9"/>
      <c r="BJ9"/>
      <c r="BK9"/>
      <c r="BL9"/>
      <c r="BM9"/>
      <c r="BN9"/>
      <c r="BO9"/>
      <c r="BP9"/>
      <c r="BQ9"/>
      <c r="BR9"/>
      <c r="BS9"/>
    </row>
    <row r="10" spans="1:71" s="4" customFormat="1">
      <c r="A10" s="128" t="s">
        <v>435</v>
      </c>
      <c r="B10" s="128" t="s">
        <v>54</v>
      </c>
      <c r="C10" s="128" t="s">
        <v>21</v>
      </c>
      <c r="D10" s="130">
        <v>70392</v>
      </c>
      <c r="E10"/>
      <c r="F10"/>
      <c r="G10" s="130">
        <v>65072</v>
      </c>
      <c r="H10"/>
      <c r="I10"/>
      <c r="J10" s="130">
        <v>55272</v>
      </c>
      <c r="K10" s="130">
        <v>50736</v>
      </c>
      <c r="L10" s="130">
        <v>4536</v>
      </c>
      <c r="M10" s="130">
        <v>57664</v>
      </c>
      <c r="N10" s="130">
        <v>52984</v>
      </c>
      <c r="O10" s="130">
        <v>4680</v>
      </c>
      <c r="P10" s="130">
        <v>59466</v>
      </c>
      <c r="Q10" s="130">
        <v>54056</v>
      </c>
      <c r="R10" s="130">
        <v>5410</v>
      </c>
      <c r="S10" s="130">
        <v>68026</v>
      </c>
      <c r="T10" s="130">
        <v>60689</v>
      </c>
      <c r="U10" s="130">
        <v>7337</v>
      </c>
      <c r="V10" s="130">
        <v>69352</v>
      </c>
      <c r="W10" s="130">
        <v>64593</v>
      </c>
      <c r="X10" s="130">
        <v>7496</v>
      </c>
      <c r="Y10" s="130">
        <v>65738</v>
      </c>
      <c r="Z10" s="130"/>
      <c r="AA10" s="130">
        <v>7620</v>
      </c>
      <c r="AB10" s="130">
        <v>69140</v>
      </c>
      <c r="AC10" s="130"/>
      <c r="AD10" s="130">
        <v>7620</v>
      </c>
      <c r="AE10" s="130">
        <v>69140</v>
      </c>
      <c r="AF10" s="130"/>
      <c r="AG10" s="130">
        <v>7620</v>
      </c>
      <c r="AH10" s="130">
        <v>69140</v>
      </c>
      <c r="AI10" s="130"/>
      <c r="AJ10" s="130">
        <v>7620</v>
      </c>
      <c r="AK10" s="130">
        <v>69140</v>
      </c>
      <c r="AL10" s="130"/>
      <c r="AM10" s="130">
        <v>7620</v>
      </c>
      <c r="AN10" s="131" cm="1">
        <f t="array" ref="AN10">SUMPRODUCT(('Sales by Customer- 2025'!D$8:AK$8&lt;&gt;"Margin")*('Sales by Customer- 2025'!D$8:AK$8&lt;&gt;"Salary_$600")*D10:AK10)</f>
        <v>787542</v>
      </c>
      <c r="AO10" s="131"/>
      <c r="AP10" s="185"/>
      <c r="AQ10" s="178"/>
      <c r="AR10"/>
      <c r="AS10"/>
      <c r="AT10"/>
      <c r="AU10"/>
      <c r="AV10"/>
      <c r="AW10"/>
      <c r="AX10"/>
      <c r="AY10"/>
      <c r="AZ10"/>
      <c r="BA10"/>
      <c r="BB10"/>
      <c r="BC10"/>
      <c r="BD10"/>
      <c r="BE10"/>
      <c r="BF10"/>
      <c r="BG10"/>
      <c r="BH10"/>
      <c r="BI10"/>
      <c r="BJ10"/>
      <c r="BK10"/>
      <c r="BL10"/>
      <c r="BM10"/>
      <c r="BN10"/>
      <c r="BO10"/>
      <c r="BP10"/>
      <c r="BQ10"/>
      <c r="BR10"/>
      <c r="BS10"/>
    </row>
    <row r="11" spans="1:71" s="4" customFormat="1">
      <c r="A11" s="128" t="s">
        <v>436</v>
      </c>
      <c r="B11" s="128" t="s">
        <v>54</v>
      </c>
      <c r="C11" s="128" t="s">
        <v>21</v>
      </c>
      <c r="D11" s="130">
        <v>0</v>
      </c>
      <c r="E11"/>
      <c r="F11"/>
      <c r="G11" s="130">
        <v>0</v>
      </c>
      <c r="H11"/>
      <c r="I11"/>
      <c r="J11" s="130">
        <v>0</v>
      </c>
      <c r="K11" s="130">
        <v>0</v>
      </c>
      <c r="L11" s="130">
        <v>0</v>
      </c>
      <c r="M11" s="130">
        <v>0</v>
      </c>
      <c r="N11" s="130">
        <v>0</v>
      </c>
      <c r="O11" s="130">
        <v>0</v>
      </c>
      <c r="P11" s="130">
        <v>0</v>
      </c>
      <c r="Q11" s="130"/>
      <c r="R11" s="130"/>
      <c r="S11" s="130">
        <v>0</v>
      </c>
      <c r="T11" s="130"/>
      <c r="U11" s="130"/>
      <c r="V11" s="130">
        <v>0</v>
      </c>
      <c r="W11" s="130">
        <v>0</v>
      </c>
      <c r="X11" s="130">
        <v>0</v>
      </c>
      <c r="Y11" s="130">
        <v>0</v>
      </c>
      <c r="Z11" s="130"/>
      <c r="AA11" s="130"/>
      <c r="AB11" s="130">
        <v>0</v>
      </c>
      <c r="AC11" s="130"/>
      <c r="AD11" s="130"/>
      <c r="AE11" s="130">
        <v>0</v>
      </c>
      <c r="AF11" s="130"/>
      <c r="AG11" s="130"/>
      <c r="AH11" s="130">
        <v>0</v>
      </c>
      <c r="AI11" s="130"/>
      <c r="AJ11" s="130"/>
      <c r="AK11" s="130">
        <v>0</v>
      </c>
      <c r="AL11" s="130"/>
      <c r="AM11" s="130"/>
      <c r="AN11" s="131" cm="1">
        <f t="array" ref="AN11">SUMPRODUCT(('Sales by Customer- 2025'!D$8:AK$8&lt;&gt;"Margin")*('Sales by Customer- 2025'!D$8:AK$8&lt;&gt;"Salary_$600")*D11:AK11)</f>
        <v>0</v>
      </c>
      <c r="AO11" s="131"/>
      <c r="AP11" s="185"/>
      <c r="AQ11" s="178"/>
      <c r="AR11"/>
      <c r="AS11"/>
      <c r="AT11"/>
      <c r="AU11"/>
      <c r="AV11"/>
      <c r="AW11"/>
      <c r="AX11"/>
      <c r="AY11"/>
      <c r="AZ11"/>
      <c r="BA11"/>
      <c r="BB11"/>
      <c r="BC11"/>
      <c r="BD11"/>
      <c r="BE11"/>
      <c r="BF11"/>
      <c r="BG11"/>
      <c r="BH11"/>
      <c r="BI11"/>
      <c r="BJ11"/>
      <c r="BK11"/>
      <c r="BL11"/>
      <c r="BM11"/>
      <c r="BN11"/>
      <c r="BO11"/>
      <c r="BP11"/>
      <c r="BQ11"/>
      <c r="BR11"/>
      <c r="BS11"/>
    </row>
    <row r="12" spans="1:71" s="4" customFormat="1">
      <c r="A12" s="128" t="s">
        <v>437</v>
      </c>
      <c r="B12" s="128" t="s">
        <v>54</v>
      </c>
      <c r="C12" s="128" t="s">
        <v>21</v>
      </c>
      <c r="D12" s="130">
        <v>14280</v>
      </c>
      <c r="E12"/>
      <c r="F12"/>
      <c r="G12" s="130">
        <v>12920</v>
      </c>
      <c r="H12"/>
      <c r="I12"/>
      <c r="J12" s="130">
        <v>5475</v>
      </c>
      <c r="K12" s="130">
        <v>4745</v>
      </c>
      <c r="L12" s="130">
        <v>730</v>
      </c>
      <c r="M12" s="130">
        <v>13200</v>
      </c>
      <c r="N12" s="130">
        <v>11440</v>
      </c>
      <c r="O12" s="130">
        <v>1760</v>
      </c>
      <c r="P12" s="130">
        <v>13200</v>
      </c>
      <c r="Q12" s="130">
        <v>11440</v>
      </c>
      <c r="R12" s="130">
        <v>1760</v>
      </c>
      <c r="S12" s="130">
        <v>12600</v>
      </c>
      <c r="T12" s="130">
        <v>10920</v>
      </c>
      <c r="U12" s="130">
        <v>1680</v>
      </c>
      <c r="V12" s="130">
        <v>13200</v>
      </c>
      <c r="W12" s="130">
        <v>11440</v>
      </c>
      <c r="X12" s="130">
        <v>1760</v>
      </c>
      <c r="Y12" s="130">
        <v>12600</v>
      </c>
      <c r="Z12" s="130"/>
      <c r="AA12" s="130">
        <v>1600</v>
      </c>
      <c r="AB12" s="130">
        <v>12000</v>
      </c>
      <c r="AC12" s="130"/>
      <c r="AD12" s="130">
        <v>1600</v>
      </c>
      <c r="AE12" s="130">
        <v>12000</v>
      </c>
      <c r="AF12" s="130"/>
      <c r="AG12" s="130">
        <v>1600</v>
      </c>
      <c r="AH12" s="130">
        <v>12000</v>
      </c>
      <c r="AI12" s="130"/>
      <c r="AJ12" s="130">
        <v>1600</v>
      </c>
      <c r="AK12" s="130">
        <v>12000</v>
      </c>
      <c r="AL12" s="130"/>
      <c r="AM12" s="130">
        <v>1600</v>
      </c>
      <c r="AN12" s="131" cm="1">
        <f t="array" ref="AN12">SUMPRODUCT(('Sales by Customer- 2025'!D$8:AK$8&lt;&gt;"Margin")*('Sales by Customer- 2025'!D$8:AK$8&lt;&gt;"Salary_$600")*D12:AK12)</f>
        <v>145475</v>
      </c>
      <c r="AO12" s="131"/>
      <c r="AP12" s="185"/>
      <c r="AQ12" s="178"/>
      <c r="AR12"/>
      <c r="AS12"/>
      <c r="AT12"/>
      <c r="AU12"/>
      <c r="AV12"/>
      <c r="AW12"/>
      <c r="AX12"/>
      <c r="AY12"/>
      <c r="AZ12"/>
      <c r="BA12"/>
      <c r="BB12"/>
      <c r="BC12"/>
      <c r="BD12"/>
      <c r="BE12"/>
      <c r="BF12"/>
      <c r="BG12"/>
      <c r="BH12"/>
      <c r="BI12"/>
      <c r="BJ12"/>
      <c r="BK12"/>
      <c r="BL12"/>
      <c r="BM12"/>
      <c r="BN12"/>
      <c r="BO12"/>
      <c r="BP12"/>
      <c r="BQ12"/>
      <c r="BR12"/>
      <c r="BS12"/>
    </row>
    <row r="13" spans="1:71" s="4" customFormat="1">
      <c r="A13" s="128" t="s">
        <v>438</v>
      </c>
      <c r="B13" s="128" t="s">
        <v>54</v>
      </c>
      <c r="C13" s="128" t="s">
        <v>21</v>
      </c>
      <c r="D13" s="130">
        <v>4436</v>
      </c>
      <c r="E13"/>
      <c r="F13"/>
      <c r="G13" s="130">
        <v>4955</v>
      </c>
      <c r="H13"/>
      <c r="I13"/>
      <c r="J13" s="130">
        <v>5917</v>
      </c>
      <c r="K13" s="130">
        <v>0</v>
      </c>
      <c r="L13" s="130">
        <v>5917</v>
      </c>
      <c r="M13" s="130">
        <v>10262</v>
      </c>
      <c r="N13" s="130">
        <v>0</v>
      </c>
      <c r="O13" s="130">
        <v>10262</v>
      </c>
      <c r="P13" s="130">
        <v>7212</v>
      </c>
      <c r="Q13" s="130">
        <v>0</v>
      </c>
      <c r="R13" s="130">
        <v>7212</v>
      </c>
      <c r="S13" s="130">
        <v>8308</v>
      </c>
      <c r="T13" s="130">
        <v>0</v>
      </c>
      <c r="U13" s="130">
        <v>8308</v>
      </c>
      <c r="V13" s="130">
        <v>12291</v>
      </c>
      <c r="W13" s="130">
        <v>0</v>
      </c>
      <c r="X13" s="130">
        <v>12291</v>
      </c>
      <c r="Y13" s="130">
        <v>6733</v>
      </c>
      <c r="Z13" s="130"/>
      <c r="AA13" s="130">
        <v>6240</v>
      </c>
      <c r="AB13" s="130">
        <v>6240</v>
      </c>
      <c r="AC13" s="130"/>
      <c r="AD13" s="130">
        <v>6240</v>
      </c>
      <c r="AE13" s="130">
        <v>6240</v>
      </c>
      <c r="AF13" s="130"/>
      <c r="AG13" s="130">
        <v>6240</v>
      </c>
      <c r="AH13" s="130">
        <v>6240</v>
      </c>
      <c r="AI13" s="130"/>
      <c r="AJ13" s="130">
        <v>6240</v>
      </c>
      <c r="AK13" s="130">
        <v>6240</v>
      </c>
      <c r="AL13" s="130"/>
      <c r="AM13" s="130">
        <v>6240</v>
      </c>
      <c r="AN13" s="131" cm="1">
        <f t="array" ref="AN13">SUMPRODUCT(('Sales by Customer- 2025'!D$8:AK$8&lt;&gt;"Margin")*('Sales by Customer- 2025'!D$8:AK$8&lt;&gt;"Salary_$600")*D13:AK13)</f>
        <v>85074</v>
      </c>
      <c r="AO13" s="131"/>
      <c r="AP13" s="185"/>
      <c r="AQ13" s="178"/>
      <c r="AR13"/>
      <c r="AS13"/>
      <c r="AT13"/>
      <c r="AU13"/>
      <c r="AV13"/>
      <c r="AW13"/>
      <c r="AX13"/>
      <c r="AY13"/>
      <c r="AZ13"/>
      <c r="BA13"/>
      <c r="BB13"/>
      <c r="BC13"/>
      <c r="BD13"/>
      <c r="BE13"/>
      <c r="BF13"/>
      <c r="BG13"/>
      <c r="BH13"/>
      <c r="BI13"/>
      <c r="BJ13"/>
      <c r="BK13"/>
      <c r="BL13"/>
      <c r="BM13"/>
      <c r="BN13"/>
      <c r="BO13"/>
      <c r="BP13"/>
      <c r="BQ13"/>
      <c r="BR13"/>
      <c r="BS13"/>
    </row>
    <row r="14" spans="1:71" s="4" customFormat="1">
      <c r="A14" s="128" t="s">
        <v>439</v>
      </c>
      <c r="B14" s="128" t="s">
        <v>54</v>
      </c>
      <c r="C14" s="128" t="s">
        <v>21</v>
      </c>
      <c r="D14" s="130">
        <v>36696</v>
      </c>
      <c r="E14"/>
      <c r="F14"/>
      <c r="G14" s="130">
        <v>34400</v>
      </c>
      <c r="H14"/>
      <c r="I14"/>
      <c r="J14" s="130">
        <v>36120</v>
      </c>
      <c r="K14" s="130">
        <v>31248</v>
      </c>
      <c r="L14" s="130">
        <v>4872</v>
      </c>
      <c r="M14" s="130">
        <v>35968</v>
      </c>
      <c r="N14" s="130">
        <v>31098</v>
      </c>
      <c r="O14" s="130">
        <v>4870</v>
      </c>
      <c r="P14" s="130">
        <v>36696</v>
      </c>
      <c r="Q14" s="130">
        <v>31752</v>
      </c>
      <c r="R14" s="130">
        <v>4944</v>
      </c>
      <c r="S14" s="130">
        <v>32680</v>
      </c>
      <c r="T14" s="130">
        <v>28272</v>
      </c>
      <c r="U14" s="130">
        <v>4408</v>
      </c>
      <c r="V14" s="130">
        <v>35544</v>
      </c>
      <c r="W14" s="130">
        <v>30744</v>
      </c>
      <c r="X14" s="130">
        <v>4800</v>
      </c>
      <c r="Y14" s="130">
        <v>34400</v>
      </c>
      <c r="Z14" s="130"/>
      <c r="AA14" s="130">
        <v>4640</v>
      </c>
      <c r="AB14" s="130">
        <v>34400</v>
      </c>
      <c r="AC14" s="130"/>
      <c r="AD14" s="130">
        <v>4640</v>
      </c>
      <c r="AE14" s="130">
        <v>34400</v>
      </c>
      <c r="AF14" s="130"/>
      <c r="AG14" s="130">
        <v>4640</v>
      </c>
      <c r="AH14" s="130">
        <v>34400</v>
      </c>
      <c r="AI14" s="130"/>
      <c r="AJ14" s="130">
        <v>4640</v>
      </c>
      <c r="AK14" s="130">
        <v>34400</v>
      </c>
      <c r="AL14" s="130"/>
      <c r="AM14" s="130">
        <v>4640</v>
      </c>
      <c r="AN14" s="131" cm="1">
        <f t="array" ref="AN14">SUMPRODUCT(('Sales by Customer- 2025'!D$8:AK$8&lt;&gt;"Margin")*('Sales by Customer- 2025'!D$8:AK$8&lt;&gt;"Salary_$600")*D14:AK14)</f>
        <v>420104</v>
      </c>
      <c r="AO14" s="131"/>
      <c r="AP14" s="185"/>
      <c r="AQ14" s="178"/>
      <c r="AR14"/>
      <c r="AS14"/>
      <c r="AT14"/>
      <c r="AU14"/>
      <c r="AV14"/>
      <c r="AW14"/>
      <c r="AX14"/>
      <c r="AY14"/>
      <c r="AZ14"/>
      <c r="BA14"/>
      <c r="BB14"/>
      <c r="BC14"/>
      <c r="BD14"/>
      <c r="BE14"/>
      <c r="BF14"/>
      <c r="BG14"/>
      <c r="BH14"/>
      <c r="BI14"/>
      <c r="BJ14"/>
      <c r="BK14"/>
      <c r="BL14"/>
      <c r="BM14"/>
      <c r="BN14"/>
      <c r="BO14"/>
      <c r="BP14"/>
      <c r="BQ14"/>
      <c r="BR14"/>
      <c r="BS14"/>
    </row>
    <row r="15" spans="1:71" s="4" customFormat="1">
      <c r="A15" s="128" t="s">
        <v>67</v>
      </c>
      <c r="B15" s="128" t="s">
        <v>54</v>
      </c>
      <c r="C15" s="128" t="s">
        <v>21</v>
      </c>
      <c r="D15" s="130">
        <v>54790</v>
      </c>
      <c r="E15"/>
      <c r="F15"/>
      <c r="G15" s="130">
        <v>31485</v>
      </c>
      <c r="H15"/>
      <c r="I15"/>
      <c r="J15" s="130">
        <v>32955</v>
      </c>
      <c r="K15" s="130">
        <v>32370</v>
      </c>
      <c r="L15" s="130">
        <v>585</v>
      </c>
      <c r="M15" s="130">
        <v>30420</v>
      </c>
      <c r="N15" s="130">
        <v>29880</v>
      </c>
      <c r="O15" s="130">
        <v>540</v>
      </c>
      <c r="P15" s="130">
        <v>28730</v>
      </c>
      <c r="Q15" s="130">
        <v>28220</v>
      </c>
      <c r="R15" s="130">
        <v>510</v>
      </c>
      <c r="S15" s="130">
        <v>27040</v>
      </c>
      <c r="T15" s="130">
        <v>26560</v>
      </c>
      <c r="U15" s="130">
        <v>480</v>
      </c>
      <c r="V15" s="130">
        <v>13520</v>
      </c>
      <c r="W15" s="130">
        <v>13280</v>
      </c>
      <c r="X15" s="130">
        <v>240</v>
      </c>
      <c r="Y15" s="130">
        <v>27040</v>
      </c>
      <c r="Z15" s="130"/>
      <c r="AA15" s="130">
        <v>480</v>
      </c>
      <c r="AB15" s="130">
        <v>27040</v>
      </c>
      <c r="AC15" s="130"/>
      <c r="AD15" s="130">
        <v>480</v>
      </c>
      <c r="AE15" s="130">
        <v>27040</v>
      </c>
      <c r="AF15" s="130"/>
      <c r="AG15" s="130">
        <v>480</v>
      </c>
      <c r="AH15" s="130">
        <v>27040</v>
      </c>
      <c r="AI15" s="130"/>
      <c r="AJ15" s="130">
        <v>480</v>
      </c>
      <c r="AK15" s="130">
        <v>27040</v>
      </c>
      <c r="AL15" s="130"/>
      <c r="AM15" s="130">
        <v>480</v>
      </c>
      <c r="AN15" s="131" cm="1">
        <f t="array" ref="AN15">SUMPRODUCT(('Sales by Customer- 2025'!D$8:AK$8&lt;&gt;"Margin")*('Sales by Customer- 2025'!D$8:AK$8&lt;&gt;"Salary_$600")*D15:AK15)</f>
        <v>354140</v>
      </c>
      <c r="AO15" s="131"/>
      <c r="AP15" s="185"/>
      <c r="AQ15" s="178"/>
      <c r="AR15"/>
      <c r="AS15"/>
      <c r="AT15"/>
      <c r="AU15"/>
      <c r="AV15"/>
      <c r="AW15"/>
      <c r="AX15"/>
      <c r="AY15"/>
      <c r="AZ15"/>
      <c r="BA15"/>
      <c r="BB15"/>
      <c r="BC15"/>
      <c r="BD15"/>
      <c r="BE15"/>
      <c r="BF15"/>
      <c r="BG15"/>
      <c r="BH15"/>
      <c r="BI15"/>
      <c r="BJ15"/>
      <c r="BK15"/>
      <c r="BL15"/>
      <c r="BM15"/>
      <c r="BN15"/>
      <c r="BO15"/>
      <c r="BP15"/>
      <c r="BQ15"/>
      <c r="BR15"/>
      <c r="BS15"/>
    </row>
    <row r="16" spans="1:71" s="4" customFormat="1">
      <c r="A16" s="128" t="s">
        <v>440</v>
      </c>
      <c r="B16" s="128" t="s">
        <v>54</v>
      </c>
      <c r="C16" s="128" t="s">
        <v>21</v>
      </c>
      <c r="D16" s="130">
        <v>10080</v>
      </c>
      <c r="E16"/>
      <c r="F16"/>
      <c r="G16" s="130">
        <v>9120</v>
      </c>
      <c r="H16"/>
      <c r="I16"/>
      <c r="J16" s="130">
        <v>10080</v>
      </c>
      <c r="K16" s="130">
        <v>9744</v>
      </c>
      <c r="L16" s="130">
        <v>184.8</v>
      </c>
      <c r="M16" s="130">
        <v>10560</v>
      </c>
      <c r="N16" s="130">
        <v>10208</v>
      </c>
      <c r="O16" s="130">
        <v>193.6</v>
      </c>
      <c r="P16" s="130">
        <v>10080</v>
      </c>
      <c r="Q16" s="130">
        <v>9744</v>
      </c>
      <c r="R16" s="130">
        <v>184.8</v>
      </c>
      <c r="S16" s="130">
        <v>10080</v>
      </c>
      <c r="T16" s="130">
        <v>9744</v>
      </c>
      <c r="U16" s="130">
        <v>184.8</v>
      </c>
      <c r="V16" s="130">
        <v>10560</v>
      </c>
      <c r="W16" s="130">
        <v>10208</v>
      </c>
      <c r="X16" s="130">
        <v>193.6</v>
      </c>
      <c r="Y16" s="130">
        <v>10800</v>
      </c>
      <c r="Z16" s="130"/>
      <c r="AA16" s="130">
        <v>176</v>
      </c>
      <c r="AB16" s="130">
        <v>9600</v>
      </c>
      <c r="AC16" s="130"/>
      <c r="AD16" s="130">
        <v>176</v>
      </c>
      <c r="AE16" s="130">
        <v>9600</v>
      </c>
      <c r="AF16" s="130"/>
      <c r="AG16" s="130">
        <v>176</v>
      </c>
      <c r="AH16" s="130">
        <v>9600</v>
      </c>
      <c r="AI16" s="130"/>
      <c r="AJ16" s="130">
        <v>176</v>
      </c>
      <c r="AK16" s="130">
        <v>9600</v>
      </c>
      <c r="AL16" s="130"/>
      <c r="AM16" s="130">
        <v>176</v>
      </c>
      <c r="AN16" s="131" cm="1">
        <f t="array" ref="AN16">SUMPRODUCT(('Sales by Customer- 2025'!D$8:AK$8&lt;&gt;"Margin")*('Sales by Customer- 2025'!D$8:AK$8&lt;&gt;"Salary_$600")*D16:AK16)</f>
        <v>119760</v>
      </c>
      <c r="AO16" s="131"/>
      <c r="AP16" s="185"/>
      <c r="AQ16" s="178"/>
      <c r="AR16"/>
      <c r="AS16"/>
      <c r="AT16"/>
      <c r="AU16"/>
      <c r="AV16"/>
      <c r="AW16"/>
      <c r="AX16"/>
      <c r="AY16"/>
      <c r="AZ16"/>
      <c r="BA16"/>
      <c r="BB16"/>
      <c r="BC16"/>
      <c r="BD16"/>
      <c r="BE16"/>
      <c r="BF16"/>
      <c r="BG16"/>
      <c r="BH16"/>
      <c r="BI16"/>
      <c r="BJ16"/>
      <c r="BK16"/>
      <c r="BL16"/>
      <c r="BM16"/>
      <c r="BN16"/>
      <c r="BO16"/>
      <c r="BP16"/>
      <c r="BQ16"/>
      <c r="BR16"/>
      <c r="BS16"/>
    </row>
    <row r="17" spans="1:71" s="4" customFormat="1">
      <c r="A17" s="169" t="s">
        <v>46</v>
      </c>
      <c r="B17" s="169" t="s">
        <v>94</v>
      </c>
      <c r="C17" s="169" t="s">
        <v>21</v>
      </c>
      <c r="D17" s="170"/>
      <c r="E17"/>
      <c r="F17"/>
      <c r="G17" s="170"/>
      <c r="H17"/>
      <c r="I17"/>
      <c r="J17" s="170"/>
      <c r="K17" s="170"/>
      <c r="L17" s="170"/>
      <c r="M17" s="170"/>
      <c r="N17" s="170"/>
      <c r="O17" s="170"/>
      <c r="P17" s="170"/>
      <c r="Q17" s="170"/>
      <c r="R17" s="170"/>
      <c r="S17" s="170">
        <v>0</v>
      </c>
      <c r="T17" s="170">
        <v>0</v>
      </c>
      <c r="U17" s="170">
        <v>0</v>
      </c>
      <c r="V17" s="170">
        <v>0</v>
      </c>
      <c r="W17" s="170">
        <v>0</v>
      </c>
      <c r="X17" s="170">
        <v>0</v>
      </c>
      <c r="Y17" s="170">
        <v>22000</v>
      </c>
      <c r="Z17" s="170"/>
      <c r="AA17" s="170">
        <v>2080</v>
      </c>
      <c r="AB17" s="170">
        <v>31200</v>
      </c>
      <c r="AC17" s="170"/>
      <c r="AD17" s="170">
        <v>3120</v>
      </c>
      <c r="AE17" s="170">
        <v>49600</v>
      </c>
      <c r="AF17" s="170"/>
      <c r="AG17" s="170">
        <v>4160</v>
      </c>
      <c r="AH17" s="170">
        <v>49600</v>
      </c>
      <c r="AI17" s="170"/>
      <c r="AJ17" s="170">
        <v>4160</v>
      </c>
      <c r="AK17" s="170">
        <v>49600</v>
      </c>
      <c r="AL17" s="170"/>
      <c r="AM17" s="170">
        <v>4160</v>
      </c>
      <c r="AN17" s="171" cm="1">
        <f t="array" ref="AN17">SUMPRODUCT(('Sales by Customer- 2025'!D$8:AK$8&lt;&gt;"Margin")*('Sales by Customer- 2025'!D$8:AK$8&lt;&gt;"Salary_$600")*D17:AK17)</f>
        <v>202000</v>
      </c>
      <c r="AO17" s="171"/>
      <c r="AP17" s="187"/>
      <c r="AQ17" s="181"/>
      <c r="AR17"/>
      <c r="AS17"/>
      <c r="AT17"/>
      <c r="AU17"/>
      <c r="AV17"/>
      <c r="AW17"/>
      <c r="AX17"/>
      <c r="AY17"/>
      <c r="AZ17"/>
      <c r="BA17"/>
      <c r="BB17"/>
      <c r="BC17"/>
      <c r="BD17"/>
      <c r="BE17"/>
      <c r="BF17"/>
      <c r="BG17"/>
      <c r="BH17"/>
      <c r="BI17"/>
      <c r="BJ17"/>
      <c r="BK17"/>
      <c r="BL17"/>
      <c r="BM17"/>
      <c r="BN17"/>
      <c r="BO17"/>
      <c r="BP17"/>
      <c r="BQ17"/>
      <c r="BR17"/>
      <c r="BS17"/>
    </row>
    <row r="18" spans="1:71" s="4" customFormat="1">
      <c r="A18" s="167" t="s">
        <v>60</v>
      </c>
      <c r="B18" s="173"/>
      <c r="C18" s="172" t="s">
        <v>21</v>
      </c>
      <c r="D18" s="168"/>
      <c r="E18" s="168"/>
      <c r="F18" s="168"/>
      <c r="G18" s="168"/>
      <c r="H18" s="168"/>
      <c r="I18" s="168"/>
      <c r="J18" s="168"/>
      <c r="K18" s="168"/>
      <c r="L18" s="168"/>
      <c r="M18" s="168"/>
      <c r="N18" s="168"/>
      <c r="O18" s="168"/>
      <c r="P18" s="167"/>
      <c r="Q18" s="168"/>
      <c r="R18" s="167"/>
      <c r="S18" s="174">
        <v>840</v>
      </c>
      <c r="T18" s="174">
        <v>0</v>
      </c>
      <c r="U18" s="175">
        <v>840</v>
      </c>
      <c r="V18" s="174">
        <v>880</v>
      </c>
      <c r="W18" s="176">
        <v>0</v>
      </c>
      <c r="X18" s="174">
        <v>880</v>
      </c>
      <c r="Y18" s="174">
        <v>0</v>
      </c>
      <c r="Z18" s="174">
        <v>0</v>
      </c>
      <c r="AA18" s="174">
        <v>0</v>
      </c>
      <c r="AB18" s="174">
        <v>0</v>
      </c>
      <c r="AC18" s="174">
        <v>0</v>
      </c>
      <c r="AD18" s="174">
        <v>0</v>
      </c>
      <c r="AE18" s="174">
        <v>0</v>
      </c>
      <c r="AF18" s="174">
        <v>0</v>
      </c>
      <c r="AG18" s="174">
        <v>0</v>
      </c>
      <c r="AH18" s="174">
        <v>0</v>
      </c>
      <c r="AI18" s="174">
        <v>0</v>
      </c>
      <c r="AJ18" s="174">
        <v>0</v>
      </c>
      <c r="AK18" s="174">
        <v>0</v>
      </c>
      <c r="AL18" s="174">
        <v>0</v>
      </c>
      <c r="AM18" s="174">
        <v>0</v>
      </c>
      <c r="AN18" s="174">
        <v>0</v>
      </c>
      <c r="AO18" s="174"/>
      <c r="AP18" s="188"/>
      <c r="AQ18" s="182"/>
      <c r="AR18"/>
      <c r="AS18"/>
      <c r="AT18"/>
      <c r="AU18"/>
      <c r="AV18"/>
      <c r="AW18"/>
      <c r="AX18"/>
      <c r="AY18"/>
      <c r="AZ18"/>
      <c r="BA18"/>
      <c r="BB18"/>
      <c r="BC18"/>
      <c r="BD18"/>
      <c r="BE18"/>
      <c r="BF18"/>
      <c r="BG18"/>
      <c r="BH18"/>
      <c r="BI18"/>
      <c r="BJ18"/>
      <c r="BK18"/>
      <c r="BL18"/>
      <c r="BM18"/>
      <c r="BN18"/>
      <c r="BO18"/>
      <c r="BP18"/>
      <c r="BQ18"/>
      <c r="BR18"/>
      <c r="BS18"/>
    </row>
    <row r="19" spans="1:71" s="4" customFormat="1">
      <c r="C19"/>
      <c r="D19"/>
      <c r="E19"/>
      <c r="F19"/>
      <c r="G19"/>
      <c r="H19"/>
      <c r="I19"/>
      <c r="J19"/>
      <c r="K19"/>
      <c r="L19"/>
      <c r="M19"/>
      <c r="N19"/>
      <c r="O19"/>
      <c r="Q19"/>
      <c r="T19"/>
      <c r="AP19" s="183"/>
      <c r="AQ19" s="179"/>
      <c r="AR19"/>
      <c r="AS19"/>
      <c r="AT19"/>
      <c r="AU19"/>
      <c r="AV19"/>
      <c r="AW19"/>
      <c r="AX19"/>
      <c r="AY19"/>
      <c r="AZ19"/>
      <c r="BA19"/>
      <c r="BB19"/>
      <c r="BC19"/>
      <c r="BD19"/>
      <c r="BE19"/>
      <c r="BF19"/>
      <c r="BG19"/>
      <c r="BH19"/>
      <c r="BI19"/>
      <c r="BJ19"/>
      <c r="BK19"/>
      <c r="BL19"/>
      <c r="BM19"/>
      <c r="BN19"/>
      <c r="BO19"/>
      <c r="BP19"/>
      <c r="BQ19"/>
      <c r="BR19"/>
      <c r="BS19"/>
    </row>
    <row r="20" spans="1:71" s="4" customFormat="1">
      <c r="A20" s="128" t="s">
        <v>441</v>
      </c>
      <c r="B20" s="128" t="s">
        <v>54</v>
      </c>
      <c r="C20" s="128" t="s">
        <v>21</v>
      </c>
      <c r="D20" s="130">
        <v>0</v>
      </c>
      <c r="E20"/>
      <c r="F20"/>
      <c r="G20" s="130">
        <v>0</v>
      </c>
      <c r="H20"/>
      <c r="I20"/>
      <c r="J20" s="130">
        <v>0</v>
      </c>
      <c r="K20" s="130">
        <v>0</v>
      </c>
      <c r="L20" s="130">
        <v>0</v>
      </c>
      <c r="M20" s="130">
        <v>0</v>
      </c>
      <c r="N20" s="130"/>
      <c r="O20" s="130"/>
      <c r="P20" s="130">
        <v>0</v>
      </c>
      <c r="Q20" s="130"/>
      <c r="R20" s="130"/>
      <c r="S20" s="130">
        <v>0</v>
      </c>
      <c r="T20" s="130"/>
      <c r="U20" s="130"/>
      <c r="V20" s="130">
        <v>0</v>
      </c>
      <c r="W20" s="130"/>
      <c r="X20" s="130"/>
      <c r="Y20" s="130">
        <v>0</v>
      </c>
      <c r="Z20" s="130"/>
      <c r="AA20" s="130"/>
      <c r="AB20" s="130">
        <v>0</v>
      </c>
      <c r="AC20" s="130"/>
      <c r="AD20" s="130"/>
      <c r="AE20" s="130">
        <v>0</v>
      </c>
      <c r="AF20" s="130"/>
      <c r="AG20" s="130"/>
      <c r="AH20" s="130">
        <v>0</v>
      </c>
      <c r="AI20" s="130"/>
      <c r="AJ20" s="130"/>
      <c r="AK20" s="130">
        <v>0</v>
      </c>
      <c r="AL20" s="130"/>
      <c r="AM20" s="130"/>
      <c r="AN20" s="131" cm="1">
        <f t="array" ref="AN20">SUMPRODUCT(('Sales by Customer- 2025'!D$8:AK$8&lt;&gt;"Margin")*('Sales by Customer- 2025'!D$8:AK$8&lt;&gt;"Salary_$600")*D20:AK20)</f>
        <v>0</v>
      </c>
      <c r="AO20" s="131"/>
      <c r="AP20" s="185"/>
      <c r="AQ20" s="178"/>
      <c r="AR20"/>
      <c r="AS20"/>
      <c r="AT20"/>
      <c r="AU20"/>
      <c r="AV20"/>
      <c r="AW20"/>
      <c r="AX20"/>
      <c r="AY20"/>
      <c r="AZ20"/>
      <c r="BA20"/>
      <c r="BB20"/>
      <c r="BC20"/>
      <c r="BD20"/>
      <c r="BE20"/>
      <c r="BF20"/>
      <c r="BG20"/>
      <c r="BH20"/>
      <c r="BI20"/>
      <c r="BJ20"/>
      <c r="BK20"/>
      <c r="BL20"/>
      <c r="BM20"/>
      <c r="BN20"/>
      <c r="BO20"/>
      <c r="BP20"/>
      <c r="BQ20"/>
      <c r="BR20"/>
      <c r="BS20"/>
    </row>
    <row r="21" spans="1:71" s="4" customFormat="1">
      <c r="A21" s="128" t="s">
        <v>442</v>
      </c>
      <c r="B21" s="128" t="s">
        <v>54</v>
      </c>
      <c r="C21" s="128" t="s">
        <v>21</v>
      </c>
      <c r="D21" s="130">
        <v>0</v>
      </c>
      <c r="E21"/>
      <c r="F21"/>
      <c r="G21" s="130">
        <v>0</v>
      </c>
      <c r="H21"/>
      <c r="I21"/>
      <c r="J21" s="130">
        <v>0</v>
      </c>
      <c r="K21" s="130">
        <v>0</v>
      </c>
      <c r="L21" s="130">
        <v>0</v>
      </c>
      <c r="M21" s="130">
        <v>0</v>
      </c>
      <c r="N21" s="130"/>
      <c r="O21" s="130"/>
      <c r="P21" s="130">
        <v>0</v>
      </c>
      <c r="Q21" s="130"/>
      <c r="R21" s="130"/>
      <c r="S21" s="130">
        <v>0</v>
      </c>
      <c r="T21" s="130"/>
      <c r="U21" s="130"/>
      <c r="V21" s="130">
        <v>0</v>
      </c>
      <c r="W21" s="130"/>
      <c r="X21" s="130"/>
      <c r="Y21" s="130">
        <v>0</v>
      </c>
      <c r="Z21" s="130"/>
      <c r="AA21" s="130"/>
      <c r="AB21" s="130">
        <v>0</v>
      </c>
      <c r="AC21" s="130"/>
      <c r="AD21" s="130"/>
      <c r="AE21" s="130">
        <v>0</v>
      </c>
      <c r="AF21" s="130"/>
      <c r="AG21" s="130"/>
      <c r="AH21" s="130">
        <v>0</v>
      </c>
      <c r="AI21" s="130"/>
      <c r="AJ21" s="130"/>
      <c r="AK21" s="130">
        <v>0</v>
      </c>
      <c r="AL21" s="130"/>
      <c r="AM21" s="130"/>
      <c r="AN21" s="131" cm="1">
        <f t="array" ref="AN21">SUMPRODUCT(('Sales by Customer- 2025'!D$8:AK$8&lt;&gt;"Margin")*('Sales by Customer- 2025'!D$8:AK$8&lt;&gt;"Salary_$600")*D21:AK21)</f>
        <v>0</v>
      </c>
      <c r="AO21" s="131"/>
      <c r="AP21" s="185"/>
      <c r="AQ21" s="178"/>
      <c r="AR21"/>
      <c r="AS21"/>
      <c r="AT21"/>
      <c r="AU21"/>
      <c r="AV21"/>
      <c r="AW21"/>
      <c r="AX21"/>
      <c r="AY21"/>
      <c r="AZ21"/>
      <c r="BA21"/>
      <c r="BB21"/>
      <c r="BC21"/>
      <c r="BD21"/>
      <c r="BE21"/>
      <c r="BF21"/>
      <c r="BG21"/>
      <c r="BH21"/>
      <c r="BI21"/>
      <c r="BJ21"/>
      <c r="BK21"/>
      <c r="BL21"/>
      <c r="BM21"/>
      <c r="BN21"/>
      <c r="BO21"/>
      <c r="BP21"/>
      <c r="BQ21"/>
      <c r="BR21"/>
      <c r="BS21"/>
    </row>
    <row r="22" spans="1:71" s="4" customFormat="1">
      <c r="A22" s="128" t="s">
        <v>443</v>
      </c>
      <c r="B22" s="128" t="s">
        <v>54</v>
      </c>
      <c r="C22" s="128" t="s">
        <v>21</v>
      </c>
      <c r="D22" s="130">
        <v>0</v>
      </c>
      <c r="E22"/>
      <c r="F22"/>
      <c r="G22" s="130">
        <v>0</v>
      </c>
      <c r="H22"/>
      <c r="I22"/>
      <c r="J22" s="130">
        <v>0</v>
      </c>
      <c r="K22" s="130">
        <v>0</v>
      </c>
      <c r="L22" s="130">
        <v>0</v>
      </c>
      <c r="M22" s="130">
        <v>0</v>
      </c>
      <c r="N22" s="130"/>
      <c r="O22" s="130"/>
      <c r="P22" s="130">
        <v>0</v>
      </c>
      <c r="Q22" s="130"/>
      <c r="R22" s="130"/>
      <c r="S22" s="130">
        <v>0</v>
      </c>
      <c r="T22" s="130"/>
      <c r="U22" s="130"/>
      <c r="V22" s="130">
        <v>0</v>
      </c>
      <c r="W22" s="130"/>
      <c r="X22" s="130"/>
      <c r="Y22" s="130">
        <v>0</v>
      </c>
      <c r="Z22" s="130"/>
      <c r="AA22" s="130"/>
      <c r="AB22" s="130">
        <v>0</v>
      </c>
      <c r="AC22" s="130"/>
      <c r="AD22" s="130"/>
      <c r="AE22" s="130">
        <v>0</v>
      </c>
      <c r="AF22" s="130"/>
      <c r="AG22" s="130"/>
      <c r="AH22" s="130">
        <v>0</v>
      </c>
      <c r="AI22" s="130"/>
      <c r="AJ22" s="130"/>
      <c r="AK22" s="130">
        <v>0</v>
      </c>
      <c r="AL22" s="130"/>
      <c r="AM22" s="130"/>
      <c r="AN22" s="131" cm="1">
        <f t="array" ref="AN22">SUMPRODUCT(('Sales by Customer- 2025'!D$8:AK$8&lt;&gt;"Margin")*('Sales by Customer- 2025'!D$8:AK$8&lt;&gt;"Salary_$600")*D22:AK22)</f>
        <v>0</v>
      </c>
      <c r="AO22" s="131"/>
      <c r="AP22" s="185"/>
      <c r="AQ22" s="178"/>
      <c r="AR22"/>
      <c r="AS22"/>
      <c r="AT22"/>
      <c r="AU22"/>
      <c r="AV22"/>
      <c r="AW22"/>
      <c r="AX22"/>
      <c r="AY22"/>
      <c r="AZ22"/>
      <c r="BA22"/>
      <c r="BB22"/>
      <c r="BC22"/>
      <c r="BD22"/>
      <c r="BE22"/>
      <c r="BF22"/>
      <c r="BG22"/>
      <c r="BH22"/>
      <c r="BI22"/>
      <c r="BJ22"/>
      <c r="BK22"/>
      <c r="BL22"/>
      <c r="BM22"/>
      <c r="BN22"/>
      <c r="BO22"/>
      <c r="BP22"/>
      <c r="BQ22"/>
      <c r="BR22"/>
      <c r="BS22"/>
    </row>
    <row r="23" spans="1:71" s="4" customFormat="1">
      <c r="A23" s="128" t="s">
        <v>444</v>
      </c>
      <c r="B23" s="128" t="s">
        <v>54</v>
      </c>
      <c r="C23" s="128" t="s">
        <v>21</v>
      </c>
      <c r="D23" s="130">
        <v>0</v>
      </c>
      <c r="E23"/>
      <c r="F23"/>
      <c r="G23" s="130">
        <v>0</v>
      </c>
      <c r="H23"/>
      <c r="I23"/>
      <c r="J23" s="130">
        <v>0</v>
      </c>
      <c r="K23" s="130">
        <v>0</v>
      </c>
      <c r="L23" s="130">
        <v>0</v>
      </c>
      <c r="M23" s="130">
        <v>0</v>
      </c>
      <c r="N23" s="130"/>
      <c r="O23" s="130"/>
      <c r="P23" s="130">
        <v>0</v>
      </c>
      <c r="Q23" s="130"/>
      <c r="R23" s="130"/>
      <c r="S23" s="130">
        <v>0</v>
      </c>
      <c r="T23" s="130"/>
      <c r="U23" s="130"/>
      <c r="V23" s="130">
        <v>0</v>
      </c>
      <c r="W23" s="130"/>
      <c r="X23" s="130"/>
      <c r="Y23" s="130">
        <v>0</v>
      </c>
      <c r="Z23" s="130"/>
      <c r="AA23" s="130"/>
      <c r="AB23" s="130">
        <v>0</v>
      </c>
      <c r="AC23" s="130"/>
      <c r="AD23" s="130"/>
      <c r="AE23" s="130">
        <v>0</v>
      </c>
      <c r="AF23" s="130"/>
      <c r="AG23" s="130"/>
      <c r="AH23" s="130">
        <v>0</v>
      </c>
      <c r="AI23" s="130"/>
      <c r="AJ23" s="130"/>
      <c r="AK23" s="130">
        <v>0</v>
      </c>
      <c r="AL23" s="130"/>
      <c r="AM23" s="130"/>
      <c r="AN23" s="131" cm="1">
        <f t="array" ref="AN23">SUMPRODUCT(('Sales by Customer- 2025'!D$8:AK$8&lt;&gt;"Margin")*('Sales by Customer- 2025'!D$8:AK$8&lt;&gt;"Salary_$600")*D23:AK23)</f>
        <v>0</v>
      </c>
      <c r="AO23" s="131"/>
      <c r="AP23" s="185"/>
      <c r="AQ23" s="178"/>
      <c r="AR23"/>
      <c r="AS23"/>
      <c r="AT23"/>
      <c r="AU23"/>
      <c r="AV23"/>
      <c r="AW23"/>
      <c r="AX23"/>
      <c r="AY23"/>
      <c r="AZ23"/>
      <c r="BA23"/>
      <c r="BB23"/>
      <c r="BC23"/>
      <c r="BD23"/>
      <c r="BE23"/>
      <c r="BF23"/>
      <c r="BG23"/>
      <c r="BH23"/>
      <c r="BI23"/>
      <c r="BJ23"/>
      <c r="BK23"/>
      <c r="BL23"/>
      <c r="BM23"/>
      <c r="BN23"/>
      <c r="BO23"/>
      <c r="BP23"/>
      <c r="BQ23"/>
      <c r="BR23"/>
      <c r="BS23"/>
    </row>
    <row r="24" spans="1:71" s="4" customFormat="1">
      <c r="A24" s="128" t="s">
        <v>445</v>
      </c>
      <c r="B24" s="128" t="s">
        <v>54</v>
      </c>
      <c r="C24" s="128" t="s">
        <v>21</v>
      </c>
      <c r="D24" s="130">
        <v>0</v>
      </c>
      <c r="E24"/>
      <c r="F24"/>
      <c r="G24" s="130">
        <v>0</v>
      </c>
      <c r="H24"/>
      <c r="I24"/>
      <c r="J24" s="130">
        <v>0</v>
      </c>
      <c r="K24" s="130">
        <v>0</v>
      </c>
      <c r="L24" s="130">
        <v>0</v>
      </c>
      <c r="M24" s="130">
        <v>0</v>
      </c>
      <c r="N24" s="130"/>
      <c r="O24" s="130"/>
      <c r="P24" s="130">
        <v>0</v>
      </c>
      <c r="Q24" s="130"/>
      <c r="R24" s="130"/>
      <c r="S24" s="130">
        <v>0</v>
      </c>
      <c r="T24" s="130"/>
      <c r="U24" s="130"/>
      <c r="V24" s="130">
        <v>0</v>
      </c>
      <c r="W24" s="130"/>
      <c r="X24" s="130"/>
      <c r="Y24" s="130">
        <v>0</v>
      </c>
      <c r="Z24" s="130"/>
      <c r="AA24" s="130"/>
      <c r="AB24" s="130">
        <v>0</v>
      </c>
      <c r="AC24" s="130"/>
      <c r="AD24" s="130"/>
      <c r="AE24" s="130">
        <v>0</v>
      </c>
      <c r="AF24" s="130"/>
      <c r="AG24" s="130"/>
      <c r="AH24" s="130">
        <v>0</v>
      </c>
      <c r="AI24" s="130"/>
      <c r="AJ24" s="130"/>
      <c r="AK24" s="130">
        <v>0</v>
      </c>
      <c r="AL24" s="130"/>
      <c r="AM24" s="130"/>
      <c r="AN24" s="131" cm="1">
        <f t="array" ref="AN24">SUMPRODUCT(('Sales by Customer- 2025'!D$8:AK$8&lt;&gt;"Margin")*('Sales by Customer- 2025'!D$8:AK$8&lt;&gt;"Salary_$600")*D24:AK24)</f>
        <v>0</v>
      </c>
      <c r="AO24" s="131"/>
      <c r="AP24" s="185"/>
      <c r="AQ24" s="178"/>
      <c r="AR24"/>
      <c r="AS24"/>
      <c r="AT24"/>
      <c r="AU24"/>
      <c r="AV24"/>
      <c r="AW24"/>
      <c r="AX24"/>
      <c r="AY24"/>
      <c r="AZ24"/>
      <c r="BA24"/>
      <c r="BB24"/>
      <c r="BC24"/>
      <c r="BD24"/>
      <c r="BE24"/>
      <c r="BF24"/>
      <c r="BG24"/>
      <c r="BH24"/>
      <c r="BI24"/>
      <c r="BJ24"/>
      <c r="BK24"/>
      <c r="BL24"/>
      <c r="BM24"/>
      <c r="BN24"/>
      <c r="BO24"/>
      <c r="BP24"/>
      <c r="BQ24"/>
      <c r="BR24"/>
      <c r="BS24"/>
    </row>
    <row r="25" spans="1:71" s="4" customFormat="1">
      <c r="A25" s="128" t="s">
        <v>446</v>
      </c>
      <c r="B25" s="128" t="s">
        <v>54</v>
      </c>
      <c r="C25" s="128" t="s">
        <v>21</v>
      </c>
      <c r="D25" s="130">
        <v>0</v>
      </c>
      <c r="E25"/>
      <c r="F25"/>
      <c r="G25" s="130">
        <v>17398</v>
      </c>
      <c r="H25"/>
      <c r="I25"/>
      <c r="J25" s="130">
        <v>28308</v>
      </c>
      <c r="K25" s="130">
        <v>22260</v>
      </c>
      <c r="L25" s="130">
        <v>6048</v>
      </c>
      <c r="M25" s="130">
        <v>40388</v>
      </c>
      <c r="N25" s="130"/>
      <c r="O25" s="130">
        <v>3385.6</v>
      </c>
      <c r="P25" s="130">
        <v>61975</v>
      </c>
      <c r="Q25" s="130"/>
      <c r="R25" s="130">
        <v>5501.55</v>
      </c>
      <c r="S25" s="130">
        <v>67392</v>
      </c>
      <c r="T25" s="130"/>
      <c r="U25" s="130">
        <v>6488.4</v>
      </c>
      <c r="V25" s="130">
        <v>86241</v>
      </c>
      <c r="W25" s="130"/>
      <c r="X25" s="130">
        <v>9477.4</v>
      </c>
      <c r="Y25" s="130">
        <v>49360</v>
      </c>
      <c r="Z25" s="130"/>
      <c r="AA25" s="130">
        <v>4096</v>
      </c>
      <c r="AB25" s="130">
        <v>49360</v>
      </c>
      <c r="AC25" s="130"/>
      <c r="AD25" s="130">
        <v>4096</v>
      </c>
      <c r="AE25" s="130">
        <v>49360</v>
      </c>
      <c r="AF25" s="130"/>
      <c r="AG25" s="130">
        <v>4096</v>
      </c>
      <c r="AH25" s="130">
        <v>49360</v>
      </c>
      <c r="AI25" s="130"/>
      <c r="AJ25" s="130">
        <v>4096</v>
      </c>
      <c r="AK25" s="130">
        <v>49360</v>
      </c>
      <c r="AL25" s="130"/>
      <c r="AM25" s="130">
        <v>4096</v>
      </c>
      <c r="AN25" s="131" cm="1">
        <f t="array" ref="AN25">SUMPRODUCT(('Sales by Customer- 2025'!D$8:AK$8&lt;&gt;"Margin")*('Sales by Customer- 2025'!D$8:AK$8&lt;&gt;"Salary_$600")*D25:AK25)</f>
        <v>548502</v>
      </c>
      <c r="AO25" s="131"/>
      <c r="AP25" s="185"/>
      <c r="AQ25" s="178"/>
      <c r="AR25"/>
      <c r="AS25"/>
      <c r="AT25"/>
      <c r="AU25"/>
      <c r="AV25"/>
      <c r="AW25"/>
      <c r="AX25"/>
      <c r="AY25"/>
      <c r="AZ25"/>
      <c r="BA25"/>
      <c r="BB25"/>
      <c r="BC25"/>
      <c r="BD25"/>
      <c r="BE25"/>
      <c r="BF25"/>
      <c r="BG25"/>
      <c r="BH25"/>
      <c r="BI25"/>
      <c r="BJ25"/>
      <c r="BK25"/>
      <c r="BL25"/>
      <c r="BM25"/>
      <c r="BN25"/>
      <c r="BO25"/>
      <c r="BP25"/>
      <c r="BQ25"/>
      <c r="BR25"/>
      <c r="BS25"/>
    </row>
    <row r="26" spans="1:71" s="4" customFormat="1">
      <c r="A26" s="128" t="s">
        <v>447</v>
      </c>
      <c r="B26" s="128" t="s">
        <v>54</v>
      </c>
      <c r="C26" s="128" t="s">
        <v>21</v>
      </c>
      <c r="D26" s="130">
        <v>0</v>
      </c>
      <c r="E26"/>
      <c r="F26"/>
      <c r="G26" s="130">
        <v>2400</v>
      </c>
      <c r="H26"/>
      <c r="I26"/>
      <c r="J26" s="130">
        <v>5040</v>
      </c>
      <c r="K26" s="130">
        <v>1680</v>
      </c>
      <c r="L26" s="130">
        <v>3360</v>
      </c>
      <c r="M26" s="130">
        <v>13440</v>
      </c>
      <c r="N26" s="130"/>
      <c r="O26" s="130">
        <v>5405.04</v>
      </c>
      <c r="P26" s="130">
        <v>14232</v>
      </c>
      <c r="Q26" s="130"/>
      <c r="R26" s="130">
        <v>5365.6</v>
      </c>
      <c r="S26" s="130">
        <v>23600</v>
      </c>
      <c r="T26" s="130"/>
      <c r="U26" s="130">
        <v>11912.87</v>
      </c>
      <c r="V26" s="130">
        <v>34886</v>
      </c>
      <c r="W26" s="130"/>
      <c r="X26" s="130">
        <v>17153.580000000002</v>
      </c>
      <c r="Y26" s="130">
        <v>22080</v>
      </c>
      <c r="Z26" s="130"/>
      <c r="AA26" s="130">
        <v>5803.2</v>
      </c>
      <c r="AB26" s="130">
        <v>22080</v>
      </c>
      <c r="AC26" s="130"/>
      <c r="AD26" s="130">
        <v>5803.2</v>
      </c>
      <c r="AE26" s="130">
        <v>22080</v>
      </c>
      <c r="AF26" s="130"/>
      <c r="AG26" s="130">
        <v>5803.2</v>
      </c>
      <c r="AH26" s="130">
        <v>22080</v>
      </c>
      <c r="AI26" s="130"/>
      <c r="AJ26" s="130">
        <v>5803.2</v>
      </c>
      <c r="AK26" s="130">
        <v>22080</v>
      </c>
      <c r="AL26" s="130"/>
      <c r="AM26" s="130">
        <v>5803.2</v>
      </c>
      <c r="AN26" s="131" cm="1">
        <f t="array" ref="AN26">SUMPRODUCT(('Sales by Customer- 2025'!D$8:AK$8&lt;&gt;"Margin")*('Sales by Customer- 2025'!D$8:AK$8&lt;&gt;"Salary_$600")*D26:AK26)</f>
        <v>203998</v>
      </c>
      <c r="AO26" s="131"/>
      <c r="AP26" s="185"/>
      <c r="AQ26" s="178"/>
      <c r="AR26"/>
      <c r="AS26"/>
      <c r="AT26"/>
      <c r="AU26"/>
      <c r="AV26"/>
      <c r="AW26"/>
      <c r="AX26"/>
      <c r="AY26"/>
      <c r="AZ26"/>
      <c r="BA26"/>
      <c r="BB26"/>
      <c r="BC26"/>
      <c r="BD26"/>
      <c r="BE26"/>
      <c r="BF26"/>
      <c r="BG26"/>
      <c r="BH26"/>
      <c r="BI26"/>
      <c r="BJ26"/>
      <c r="BK26"/>
      <c r="BL26"/>
      <c r="BM26"/>
      <c r="BN26"/>
      <c r="BO26"/>
      <c r="BP26"/>
      <c r="BQ26"/>
      <c r="BR26"/>
      <c r="BS26"/>
    </row>
    <row r="27" spans="1:71">
      <c r="AP27" s="184"/>
      <c r="AQ27" s="177"/>
    </row>
    <row r="28" spans="1:71">
      <c r="AP28" s="184"/>
      <c r="AQ28" s="177"/>
    </row>
  </sheetData>
  <conditionalFormatting sqref="X25:X26">
    <cfRule type="cellIs" dxfId="13" priority="2" operator="lessThan">
      <formula>0</formula>
    </cfRule>
  </conditionalFormatting>
  <conditionalFormatting sqref="AA9:AA12 AD9:AD12 AG9:AG12 AJ9:AJ12 AM9:AM12 L9:L17 O9:O17 R9:R17 U9:U18 AA14:AA17 AD14:AD17 AG14:AG17 AJ14:AJ17 AM14:AM17 L20:L26 O20:O26 R20:R26 U20:U26">
    <cfRule type="cellIs" dxfId="12" priority="1" operator="lessThan">
      <formula>0</formula>
    </cfRule>
  </conditionalFormatting>
  <conditionalFormatting sqref="AA20:AA26">
    <cfRule type="cellIs" dxfId="11" priority="7" operator="lessThan">
      <formula>0</formula>
    </cfRule>
  </conditionalFormatting>
  <conditionalFormatting sqref="AD25:AD26">
    <cfRule type="cellIs" dxfId="10" priority="6" operator="lessThan">
      <formula>0</formula>
    </cfRule>
  </conditionalFormatting>
  <conditionalFormatting sqref="AG25:AG26">
    <cfRule type="cellIs" dxfId="9" priority="5" operator="lessThan">
      <formula>0</formula>
    </cfRule>
  </conditionalFormatting>
  <conditionalFormatting sqref="AJ25:AJ26">
    <cfRule type="cellIs" dxfId="8" priority="4" operator="lessThan">
      <formula>0</formula>
    </cfRule>
  </conditionalFormatting>
  <conditionalFormatting sqref="AM25:AM26">
    <cfRule type="cellIs" dxfId="7" priority="3"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1BD5-8869-4A0D-A7CA-C56F48311FF2}">
  <sheetPr>
    <tabColor rgb="FF00B0F0"/>
  </sheetPr>
  <dimension ref="A1:D37"/>
  <sheetViews>
    <sheetView workbookViewId="0">
      <selection activeCell="D18" sqref="D18"/>
    </sheetView>
  </sheetViews>
  <sheetFormatPr defaultRowHeight="12.75"/>
  <cols>
    <col min="1" max="1" width="60.28515625" customWidth="1"/>
    <col min="2" max="2" width="15" style="179" customWidth="1"/>
    <col min="3" max="3" width="12.5703125" style="179" customWidth="1"/>
    <col min="4" max="4" width="15.85546875" style="179" customWidth="1"/>
  </cols>
  <sheetData>
    <row r="1" spans="1:4">
      <c r="A1" s="374" t="s">
        <v>448</v>
      </c>
      <c r="B1" s="378" t="s">
        <v>449</v>
      </c>
      <c r="C1" s="378" t="s">
        <v>450</v>
      </c>
      <c r="D1" s="378" t="s">
        <v>451</v>
      </c>
    </row>
    <row r="2" spans="1:4">
      <c r="A2" s="375" t="s">
        <v>93</v>
      </c>
      <c r="B2" s="379">
        <v>26522</v>
      </c>
      <c r="C2" s="379">
        <v>26522</v>
      </c>
      <c r="D2" s="379">
        <v>26522</v>
      </c>
    </row>
    <row r="3" spans="1:4">
      <c r="A3" s="376" t="s">
        <v>105</v>
      </c>
      <c r="B3" s="379">
        <v>849</v>
      </c>
      <c r="C3" s="379">
        <v>849</v>
      </c>
      <c r="D3" s="379">
        <v>849</v>
      </c>
    </row>
    <row r="4" spans="1:4">
      <c r="A4" s="375" t="s">
        <v>108</v>
      </c>
      <c r="B4" s="379">
        <v>201</v>
      </c>
      <c r="C4" s="379">
        <v>201</v>
      </c>
      <c r="D4" s="379">
        <v>201</v>
      </c>
    </row>
    <row r="5" spans="1:4">
      <c r="A5" s="376" t="s">
        <v>118</v>
      </c>
      <c r="B5" s="379">
        <v>7419</v>
      </c>
      <c r="C5" s="379">
        <v>7511</v>
      </c>
      <c r="D5" s="379">
        <v>7511</v>
      </c>
    </row>
    <row r="6" spans="1:4">
      <c r="A6" s="375" t="s">
        <v>111</v>
      </c>
      <c r="B6" s="379">
        <f>5656+32832</f>
        <v>38488</v>
      </c>
      <c r="C6" s="379">
        <f>5656+32832</f>
        <v>38488</v>
      </c>
      <c r="D6" s="379">
        <f>5656+32832</f>
        <v>38488</v>
      </c>
    </row>
    <row r="7" spans="1:4">
      <c r="A7" s="375" t="s">
        <v>113</v>
      </c>
      <c r="B7" s="379">
        <v>3517</v>
      </c>
      <c r="C7" s="379">
        <v>3517</v>
      </c>
      <c r="D7" s="379">
        <v>3517</v>
      </c>
    </row>
    <row r="8" spans="1:4">
      <c r="A8" s="375" t="s">
        <v>115</v>
      </c>
      <c r="B8" s="379">
        <v>55460</v>
      </c>
      <c r="C8" s="379">
        <v>53358</v>
      </c>
      <c r="D8" s="379">
        <f>53358+15000*0.8</f>
        <v>65358</v>
      </c>
    </row>
    <row r="9" spans="1:4">
      <c r="A9" s="375" t="s">
        <v>116</v>
      </c>
      <c r="B9" s="379">
        <v>3568</v>
      </c>
      <c r="C9" s="379">
        <v>3568</v>
      </c>
      <c r="D9" s="379">
        <v>3568</v>
      </c>
    </row>
    <row r="10" spans="1:4">
      <c r="A10" s="375" t="s">
        <v>122</v>
      </c>
      <c r="B10" s="379">
        <v>17108</v>
      </c>
      <c r="C10" s="379">
        <v>17108</v>
      </c>
      <c r="D10" s="379">
        <v>17108</v>
      </c>
    </row>
    <row r="11" spans="1:4">
      <c r="A11" s="375" t="s">
        <v>129</v>
      </c>
      <c r="B11" s="379">
        <v>2698</v>
      </c>
      <c r="C11" s="379">
        <v>2698</v>
      </c>
      <c r="D11" s="379">
        <v>2698</v>
      </c>
    </row>
    <row r="12" spans="1:4">
      <c r="A12" s="375" t="s">
        <v>132</v>
      </c>
      <c r="B12" s="379">
        <v>4478</v>
      </c>
      <c r="C12" s="379">
        <v>4478</v>
      </c>
      <c r="D12" s="379">
        <v>4478</v>
      </c>
    </row>
    <row r="13" spans="1:4">
      <c r="A13" s="375" t="s">
        <v>134</v>
      </c>
      <c r="B13" s="379">
        <v>2543</v>
      </c>
      <c r="C13" s="379">
        <v>2543</v>
      </c>
      <c r="D13" s="379">
        <v>2543</v>
      </c>
    </row>
    <row r="14" spans="1:4">
      <c r="A14" s="375" t="s">
        <v>125</v>
      </c>
      <c r="B14" s="379">
        <f>12535+61000/6</f>
        <v>22701.666666666664</v>
      </c>
      <c r="C14" s="379">
        <f>12535+61000/6</f>
        <v>22701.666666666664</v>
      </c>
      <c r="D14" s="379">
        <f>12535+61000/6</f>
        <v>22701.666666666664</v>
      </c>
    </row>
    <row r="15" spans="1:4">
      <c r="A15" s="375" t="s">
        <v>140</v>
      </c>
      <c r="B15" s="379">
        <v>3015</v>
      </c>
      <c r="C15" s="379">
        <v>3015</v>
      </c>
      <c r="D15" s="379">
        <v>3015</v>
      </c>
    </row>
    <row r="16" spans="1:4">
      <c r="A16" s="375" t="s">
        <v>151</v>
      </c>
      <c r="B16" s="379">
        <v>3369</v>
      </c>
      <c r="C16" s="379">
        <v>3369</v>
      </c>
      <c r="D16" s="379">
        <v>3369</v>
      </c>
    </row>
    <row r="17" spans="1:4">
      <c r="A17" s="376" t="s">
        <v>143</v>
      </c>
      <c r="B17" s="379">
        <v>4802</v>
      </c>
      <c r="C17" s="379">
        <v>4802</v>
      </c>
      <c r="D17" s="379">
        <v>4802</v>
      </c>
    </row>
    <row r="18" spans="1:4">
      <c r="A18" s="375" t="s">
        <v>150</v>
      </c>
      <c r="B18" s="379">
        <v>5268</v>
      </c>
      <c r="C18" s="379">
        <f>1800+1927</f>
        <v>3727</v>
      </c>
      <c r="D18" s="379">
        <f>1800+1927</f>
        <v>3727</v>
      </c>
    </row>
    <row r="19" spans="1:4" s="504" customFormat="1">
      <c r="A19" s="502" t="s">
        <v>144</v>
      </c>
      <c r="B19" s="503">
        <v>6597</v>
      </c>
      <c r="C19" s="503">
        <f>4333</f>
        <v>4333</v>
      </c>
      <c r="D19" s="503">
        <f>4333</f>
        <v>4333</v>
      </c>
    </row>
    <row r="20" spans="1:4">
      <c r="A20" s="375" t="s">
        <v>146</v>
      </c>
      <c r="B20" s="379">
        <v>7591</v>
      </c>
      <c r="C20" s="379">
        <v>7591</v>
      </c>
      <c r="D20" s="379">
        <v>7591</v>
      </c>
    </row>
    <row r="21" spans="1:4">
      <c r="A21" s="375" t="s">
        <v>142</v>
      </c>
      <c r="B21" s="379">
        <v>748</v>
      </c>
      <c r="C21" s="379">
        <v>748</v>
      </c>
      <c r="D21" s="379">
        <v>748</v>
      </c>
    </row>
    <row r="22" spans="1:4">
      <c r="A22" s="375" t="s">
        <v>147</v>
      </c>
      <c r="B22" s="379">
        <v>2245</v>
      </c>
      <c r="C22" s="379">
        <v>2245</v>
      </c>
      <c r="D22" s="379">
        <v>2245</v>
      </c>
    </row>
    <row r="23" spans="1:4">
      <c r="A23" s="376" t="s">
        <v>148</v>
      </c>
      <c r="B23" s="379">
        <f>6941-2245</f>
        <v>4696</v>
      </c>
      <c r="C23" s="379">
        <f>6941-2245</f>
        <v>4696</v>
      </c>
      <c r="D23" s="379">
        <f>6941-2245</f>
        <v>4696</v>
      </c>
    </row>
    <row r="24" spans="1:4">
      <c r="A24" s="375" t="s">
        <v>155</v>
      </c>
      <c r="B24" s="379">
        <v>4979</v>
      </c>
      <c r="C24" s="379">
        <v>4979</v>
      </c>
      <c r="D24" s="379">
        <v>4979</v>
      </c>
    </row>
    <row r="25" spans="1:4">
      <c r="A25" s="375" t="s">
        <v>162</v>
      </c>
      <c r="B25" s="379">
        <v>9270</v>
      </c>
      <c r="C25" s="379">
        <v>9270</v>
      </c>
      <c r="D25" s="379">
        <v>9270</v>
      </c>
    </row>
    <row r="26" spans="1:4">
      <c r="A26" s="375" t="s">
        <v>165</v>
      </c>
      <c r="B26" s="379">
        <v>11884</v>
      </c>
      <c r="C26" s="379">
        <v>11884</v>
      </c>
      <c r="D26" s="379">
        <v>11884</v>
      </c>
    </row>
    <row r="27" spans="1:4">
      <c r="A27" s="375" t="s">
        <v>168</v>
      </c>
      <c r="B27" s="379">
        <f>13973-900</f>
        <v>13073</v>
      </c>
      <c r="C27" s="379">
        <v>13973</v>
      </c>
      <c r="D27" s="379">
        <v>13973</v>
      </c>
    </row>
    <row r="28" spans="1:4">
      <c r="A28" s="375" t="s">
        <v>171</v>
      </c>
      <c r="B28" s="379">
        <v>14938</v>
      </c>
      <c r="C28" s="379">
        <v>14938</v>
      </c>
      <c r="D28" s="379">
        <v>14938</v>
      </c>
    </row>
    <row r="29" spans="1:4">
      <c r="A29" s="375" t="s">
        <v>452</v>
      </c>
      <c r="B29" s="379">
        <v>2086</v>
      </c>
      <c r="C29" s="379">
        <v>2086</v>
      </c>
      <c r="D29" s="379">
        <v>2086</v>
      </c>
    </row>
    <row r="30" spans="1:4">
      <c r="A30" s="375" t="s">
        <v>174</v>
      </c>
      <c r="B30" s="379">
        <f>-2640+25641-3000</f>
        <v>20001</v>
      </c>
      <c r="C30" s="379">
        <f>-2640+25641-3000</f>
        <v>20001</v>
      </c>
      <c r="D30" s="379">
        <f>-2640+25641-3000</f>
        <v>20001</v>
      </c>
    </row>
    <row r="31" spans="1:4">
      <c r="A31" s="377" t="s">
        <v>177</v>
      </c>
      <c r="B31" s="380">
        <v>3698</v>
      </c>
      <c r="C31" s="380">
        <v>3698</v>
      </c>
      <c r="D31" s="380">
        <v>3698</v>
      </c>
    </row>
    <row r="37" spans="1:1">
      <c r="A37" s="546"/>
    </row>
  </sheetData>
  <autoFilter ref="A1:D31" xr:uid="{1A821BD5-8869-4A0D-A7CA-C56F48311FF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B1AF-0A58-4231-907A-B68FEF3871EA}">
  <sheetPr>
    <tabColor rgb="FF00B0F0"/>
  </sheetPr>
  <dimension ref="A1:D31"/>
  <sheetViews>
    <sheetView workbookViewId="0"/>
  </sheetViews>
  <sheetFormatPr defaultRowHeight="12.75"/>
  <cols>
    <col min="1" max="1" width="60.28515625" customWidth="1"/>
    <col min="2" max="2" width="15" style="179" customWidth="1"/>
    <col min="3" max="3" width="12.5703125" style="179" customWidth="1"/>
    <col min="4" max="4" width="15.85546875" style="179" customWidth="1"/>
  </cols>
  <sheetData>
    <row r="1" spans="1:4">
      <c r="A1" s="374" t="s">
        <v>448</v>
      </c>
      <c r="B1" s="378" t="s">
        <v>449</v>
      </c>
      <c r="C1" s="378" t="s">
        <v>450</v>
      </c>
      <c r="D1" s="378" t="s">
        <v>451</v>
      </c>
    </row>
    <row r="2" spans="1:4">
      <c r="A2" s="375" t="s">
        <v>93</v>
      </c>
      <c r="B2" s="379">
        <v>26522</v>
      </c>
      <c r="C2" s="379">
        <v>27762</v>
      </c>
      <c r="D2" s="379">
        <v>28634</v>
      </c>
    </row>
    <row r="3" spans="1:4">
      <c r="A3" s="376" t="s">
        <v>105</v>
      </c>
      <c r="B3" s="379">
        <v>849</v>
      </c>
      <c r="C3" s="379">
        <v>904</v>
      </c>
      <c r="D3" s="379">
        <v>904</v>
      </c>
    </row>
    <row r="4" spans="1:4">
      <c r="A4" s="375" t="s">
        <v>108</v>
      </c>
      <c r="B4" s="379">
        <v>201</v>
      </c>
      <c r="C4" s="379">
        <v>215</v>
      </c>
      <c r="D4" s="379">
        <v>215</v>
      </c>
    </row>
    <row r="5" spans="1:4">
      <c r="A5" s="376" t="s">
        <v>118</v>
      </c>
      <c r="B5" s="379">
        <v>7693</v>
      </c>
      <c r="C5" s="379">
        <v>8283</v>
      </c>
      <c r="D5" s="379">
        <v>8283</v>
      </c>
    </row>
    <row r="6" spans="1:4">
      <c r="A6" s="375" t="s">
        <v>111</v>
      </c>
      <c r="B6" s="379">
        <f>5656+32832</f>
        <v>38488</v>
      </c>
      <c r="C6" s="379">
        <f>5656*1.1+33882</f>
        <v>40103.599999999999</v>
      </c>
      <c r="D6" s="379">
        <f>5656*1.1+34920</f>
        <v>41141.599999999999</v>
      </c>
    </row>
    <row r="7" spans="1:4">
      <c r="A7" s="375" t="s">
        <v>113</v>
      </c>
      <c r="B7" s="379">
        <v>3631</v>
      </c>
      <c r="C7" s="379">
        <v>3772</v>
      </c>
      <c r="D7" s="379">
        <v>3874</v>
      </c>
    </row>
    <row r="8" spans="1:4">
      <c r="A8" s="375" t="s">
        <v>115</v>
      </c>
      <c r="B8" s="379">
        <v>56520</v>
      </c>
      <c r="C8" s="379">
        <v>57811</v>
      </c>
      <c r="D8" s="379">
        <v>58791</v>
      </c>
    </row>
    <row r="9" spans="1:4">
      <c r="A9" s="375" t="s">
        <v>116</v>
      </c>
      <c r="B9" s="379">
        <v>3713</v>
      </c>
      <c r="C9" s="379">
        <v>3713</v>
      </c>
      <c r="D9" s="379">
        <v>4024</v>
      </c>
    </row>
    <row r="10" spans="1:4">
      <c r="A10" s="375" t="s">
        <v>122</v>
      </c>
      <c r="B10" s="379">
        <v>17108</v>
      </c>
      <c r="C10" s="379">
        <v>18284</v>
      </c>
      <c r="D10" s="379">
        <v>18459</v>
      </c>
    </row>
    <row r="11" spans="1:4">
      <c r="A11" s="375" t="s">
        <v>129</v>
      </c>
      <c r="B11" s="379">
        <v>2698</v>
      </c>
      <c r="C11" s="379">
        <v>2698</v>
      </c>
      <c r="D11" s="379">
        <v>2908</v>
      </c>
    </row>
    <row r="12" spans="1:4">
      <c r="A12" s="375" t="s">
        <v>132</v>
      </c>
      <c r="B12" s="379">
        <v>4478</v>
      </c>
      <c r="C12" s="379">
        <v>4866</v>
      </c>
      <c r="D12" s="379">
        <v>4866</v>
      </c>
    </row>
    <row r="13" spans="1:4">
      <c r="A13" s="375" t="s">
        <v>134</v>
      </c>
      <c r="B13" s="379">
        <v>2543</v>
      </c>
      <c r="C13" s="379">
        <v>2737</v>
      </c>
      <c r="D13" s="379">
        <v>2737</v>
      </c>
    </row>
    <row r="14" spans="1:4">
      <c r="A14" s="375" t="s">
        <v>125</v>
      </c>
      <c r="B14" s="379">
        <v>12535</v>
      </c>
      <c r="C14" s="379">
        <v>13001</v>
      </c>
      <c r="D14" s="379">
        <v>13245</v>
      </c>
    </row>
    <row r="15" spans="1:4">
      <c r="A15" s="375" t="s">
        <v>140</v>
      </c>
      <c r="B15" s="379">
        <v>3015</v>
      </c>
      <c r="C15" s="379">
        <v>3256</v>
      </c>
      <c r="D15" s="379">
        <v>3256</v>
      </c>
    </row>
    <row r="16" spans="1:4">
      <c r="A16" s="375" t="s">
        <v>151</v>
      </c>
      <c r="B16" s="379">
        <v>3369</v>
      </c>
      <c r="C16" s="379">
        <v>3646</v>
      </c>
      <c r="D16" s="379">
        <v>3646</v>
      </c>
    </row>
    <row r="17" spans="1:4">
      <c r="A17" s="376" t="s">
        <v>143</v>
      </c>
      <c r="B17" s="379">
        <v>4802</v>
      </c>
      <c r="C17" s="379">
        <v>4802</v>
      </c>
      <c r="D17" s="379">
        <v>5222</v>
      </c>
    </row>
    <row r="18" spans="1:4">
      <c r="A18" s="375" t="s">
        <v>150</v>
      </c>
      <c r="B18" s="379">
        <v>5268</v>
      </c>
      <c r="C18" s="379">
        <v>5675</v>
      </c>
      <c r="D18" s="379">
        <v>5675</v>
      </c>
    </row>
    <row r="19" spans="1:4">
      <c r="A19" s="376" t="s">
        <v>144</v>
      </c>
      <c r="B19" s="379">
        <v>6597</v>
      </c>
      <c r="C19" s="379">
        <f>4333*1.1</f>
        <v>4766.3</v>
      </c>
      <c r="D19" s="379">
        <f>4333*1.1</f>
        <v>4766.3</v>
      </c>
    </row>
    <row r="20" spans="1:4">
      <c r="A20" s="375" t="s">
        <v>146</v>
      </c>
      <c r="B20" s="379">
        <v>7591</v>
      </c>
      <c r="C20" s="379">
        <v>7591</v>
      </c>
      <c r="D20" s="379">
        <v>7958</v>
      </c>
    </row>
    <row r="21" spans="1:4">
      <c r="A21" s="375" t="s">
        <v>142</v>
      </c>
      <c r="B21" s="379">
        <v>748</v>
      </c>
      <c r="C21" s="379">
        <v>808</v>
      </c>
      <c r="D21" s="379">
        <v>808</v>
      </c>
    </row>
    <row r="22" spans="1:4">
      <c r="A22" s="375" t="s">
        <v>147</v>
      </c>
      <c r="B22" s="379">
        <v>2245</v>
      </c>
      <c r="C22" s="379">
        <v>2424</v>
      </c>
      <c r="D22" s="379">
        <v>2424</v>
      </c>
    </row>
    <row r="23" spans="1:4">
      <c r="A23" s="376" t="s">
        <v>148</v>
      </c>
      <c r="B23" s="379">
        <f>6941-2245</f>
        <v>4696</v>
      </c>
      <c r="C23" s="379">
        <f>7293-C22</f>
        <v>4869</v>
      </c>
      <c r="D23" s="379">
        <f>7440-D22</f>
        <v>5016</v>
      </c>
    </row>
    <row r="24" spans="1:4">
      <c r="A24" s="375" t="s">
        <v>155</v>
      </c>
      <c r="B24" s="379">
        <v>4979</v>
      </c>
      <c r="C24" s="379">
        <v>5140</v>
      </c>
      <c r="D24" s="379">
        <v>5357</v>
      </c>
    </row>
    <row r="25" spans="1:4">
      <c r="A25" s="375" t="s">
        <v>162</v>
      </c>
      <c r="B25" s="379">
        <v>9270</v>
      </c>
      <c r="C25" s="379">
        <v>9631</v>
      </c>
      <c r="D25" s="379">
        <v>9957</v>
      </c>
    </row>
    <row r="26" spans="1:4">
      <c r="A26" s="375" t="s">
        <v>165</v>
      </c>
      <c r="B26" s="379">
        <v>11884</v>
      </c>
      <c r="C26" s="379">
        <v>12660</v>
      </c>
      <c r="D26" s="379">
        <v>12742</v>
      </c>
    </row>
    <row r="27" spans="1:4">
      <c r="A27" s="375" t="s">
        <v>168</v>
      </c>
      <c r="B27" s="379">
        <v>20901</v>
      </c>
      <c r="C27" s="379">
        <v>21771</v>
      </c>
      <c r="D27" s="379">
        <v>22331</v>
      </c>
    </row>
    <row r="28" spans="1:4">
      <c r="A28" s="375" t="s">
        <v>171</v>
      </c>
      <c r="B28" s="379">
        <v>14938</v>
      </c>
      <c r="C28" s="379">
        <v>16175</v>
      </c>
      <c r="D28" s="379">
        <v>16175</v>
      </c>
    </row>
    <row r="29" spans="1:4">
      <c r="A29" s="375" t="s">
        <v>452</v>
      </c>
      <c r="B29" s="379">
        <v>2086</v>
      </c>
      <c r="C29" s="379">
        <v>2086</v>
      </c>
      <c r="D29" s="379">
        <v>2234.6000000000004</v>
      </c>
    </row>
    <row r="30" spans="1:4">
      <c r="A30" s="375" t="s">
        <v>174</v>
      </c>
      <c r="B30" s="379">
        <f>-2640+25641-3000</f>
        <v>20001</v>
      </c>
      <c r="C30" s="379">
        <f>-2640+27302-3000</f>
        <v>21662</v>
      </c>
      <c r="D30" s="379">
        <f>-2640+27665-3000</f>
        <v>22025</v>
      </c>
    </row>
    <row r="31" spans="1:4">
      <c r="A31" s="377" t="s">
        <v>177</v>
      </c>
      <c r="B31" s="380">
        <v>3698</v>
      </c>
      <c r="C31" s="380">
        <v>4008</v>
      </c>
      <c r="D31" s="380">
        <v>4008</v>
      </c>
    </row>
  </sheetData>
  <autoFilter ref="A1:D31" xr:uid="{1A821BD5-8869-4A0D-A7CA-C56F48311FF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36209-E620-4F9E-871B-3A31D83ACDA4}">
  <sheetPr>
    <tabColor theme="5"/>
  </sheetPr>
  <dimension ref="B2:C34"/>
  <sheetViews>
    <sheetView showGridLines="0" workbookViewId="0">
      <pane xSplit="2" ySplit="2" topLeftCell="C3" activePane="bottomRight" state="frozen"/>
      <selection pane="bottomRight" activeCell="C3" sqref="C3"/>
      <selection pane="bottomLeft" activeCell="A3" sqref="A3"/>
      <selection pane="topRight" activeCell="C1" sqref="C1"/>
    </sheetView>
  </sheetViews>
  <sheetFormatPr defaultRowHeight="12.75"/>
  <cols>
    <col min="2" max="2" width="10.7109375" customWidth="1"/>
    <col min="3" max="3" width="143.7109375" style="156" customWidth="1"/>
  </cols>
  <sheetData>
    <row r="2" spans="2:3" ht="15">
      <c r="B2" s="358" t="s">
        <v>453</v>
      </c>
      <c r="C2" s="359" t="s">
        <v>454</v>
      </c>
    </row>
    <row r="3" spans="2:3" ht="15">
      <c r="B3" s="360">
        <v>1</v>
      </c>
      <c r="C3" s="361" t="s">
        <v>455</v>
      </c>
    </row>
    <row r="4" spans="2:3" ht="15">
      <c r="B4" s="360">
        <v>2</v>
      </c>
      <c r="C4" s="361" t="s">
        <v>456</v>
      </c>
    </row>
    <row r="5" spans="2:3" ht="15">
      <c r="B5" s="360">
        <v>3</v>
      </c>
      <c r="C5" s="361" t="s">
        <v>457</v>
      </c>
    </row>
    <row r="6" spans="2:3" ht="15">
      <c r="B6" s="360">
        <v>4</v>
      </c>
      <c r="C6" s="361" t="s">
        <v>458</v>
      </c>
    </row>
    <row r="7" spans="2:3" ht="15">
      <c r="B7" s="360">
        <v>5</v>
      </c>
      <c r="C7" s="361" t="s">
        <v>459</v>
      </c>
    </row>
    <row r="8" spans="2:3" ht="15">
      <c r="B8" s="360">
        <v>6</v>
      </c>
      <c r="C8" s="361" t="s">
        <v>460</v>
      </c>
    </row>
    <row r="9" spans="2:3" ht="17.25" customHeight="1">
      <c r="B9" s="360">
        <v>7</v>
      </c>
      <c r="C9" s="361" t="s">
        <v>461</v>
      </c>
    </row>
    <row r="10" spans="2:3" ht="15">
      <c r="B10" s="360">
        <v>8</v>
      </c>
      <c r="C10" s="361" t="s">
        <v>462</v>
      </c>
    </row>
    <row r="11" spans="2:3" ht="15">
      <c r="B11" s="360">
        <v>9</v>
      </c>
      <c r="C11" s="361" t="s">
        <v>463</v>
      </c>
    </row>
    <row r="12" spans="2:3" ht="30.75">
      <c r="B12" s="360">
        <v>10</v>
      </c>
      <c r="C12" s="361" t="s">
        <v>464</v>
      </c>
    </row>
    <row r="13" spans="2:3" ht="15">
      <c r="B13" s="356"/>
      <c r="C13" s="357"/>
    </row>
    <row r="14" spans="2:3" ht="15">
      <c r="B14" s="345"/>
      <c r="C14" s="354"/>
    </row>
    <row r="15" spans="2:3" ht="15">
      <c r="B15" s="345"/>
      <c r="C15" s="354"/>
    </row>
    <row r="16" spans="2:3" ht="15">
      <c r="B16" s="345"/>
      <c r="C16" s="354"/>
    </row>
    <row r="17" spans="2:3" ht="15">
      <c r="B17" s="345"/>
      <c r="C17" s="354"/>
    </row>
    <row r="18" spans="2:3" ht="15">
      <c r="B18" s="345"/>
      <c r="C18" s="354"/>
    </row>
    <row r="19" spans="2:3" ht="15">
      <c r="B19" s="345"/>
      <c r="C19" s="354"/>
    </row>
    <row r="20" spans="2:3" ht="15">
      <c r="B20" s="345"/>
      <c r="C20" s="354"/>
    </row>
    <row r="21" spans="2:3" ht="15">
      <c r="B21" s="345"/>
      <c r="C21" s="355"/>
    </row>
    <row r="22" spans="2:3" ht="15">
      <c r="B22" s="345"/>
      <c r="C22" s="355"/>
    </row>
    <row r="23" spans="2:3" ht="15">
      <c r="B23" s="345"/>
      <c r="C23" s="355"/>
    </row>
    <row r="24" spans="2:3" ht="15">
      <c r="B24" s="345"/>
      <c r="C24" s="355"/>
    </row>
    <row r="25" spans="2:3" ht="15">
      <c r="B25" s="345"/>
      <c r="C25" s="355"/>
    </row>
    <row r="26" spans="2:3" ht="15">
      <c r="B26" s="345"/>
      <c r="C26" s="355"/>
    </row>
    <row r="27" spans="2:3" ht="15">
      <c r="B27" s="345"/>
      <c r="C27" s="355"/>
    </row>
    <row r="28" spans="2:3" ht="15">
      <c r="B28" s="345"/>
      <c r="C28" s="355"/>
    </row>
    <row r="29" spans="2:3" ht="15">
      <c r="B29" s="345"/>
      <c r="C29" s="355"/>
    </row>
    <row r="30" spans="2:3" ht="15">
      <c r="B30" s="345"/>
      <c r="C30" s="355"/>
    </row>
    <row r="31" spans="2:3" ht="15">
      <c r="B31" s="345"/>
      <c r="C31" s="355"/>
    </row>
    <row r="32" spans="2:3" ht="15">
      <c r="B32" s="345"/>
      <c r="C32" s="355"/>
    </row>
    <row r="33" spans="2:3" ht="15">
      <c r="B33" s="345"/>
      <c r="C33" s="355"/>
    </row>
    <row r="34" spans="2:3" ht="15">
      <c r="B34" s="345"/>
      <c r="C34" s="35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42D4-1F29-4DE0-9127-F7200C2E5737}">
  <sheetPr codeName="Sheet2">
    <tabColor theme="4"/>
  </sheetPr>
  <dimension ref="B2:C20"/>
  <sheetViews>
    <sheetView workbookViewId="0"/>
  </sheetViews>
  <sheetFormatPr defaultRowHeight="12.75"/>
  <sheetData>
    <row r="2" spans="2:3" ht="15">
      <c r="C2" s="200" t="s">
        <v>465</v>
      </c>
    </row>
    <row r="4" spans="2:3" ht="15">
      <c r="B4" s="200">
        <v>1</v>
      </c>
      <c r="C4" s="201" t="s">
        <v>466</v>
      </c>
    </row>
    <row r="5" spans="2:3" ht="15">
      <c r="B5" s="200">
        <v>2</v>
      </c>
      <c r="C5" t="s">
        <v>467</v>
      </c>
    </row>
    <row r="6" spans="2:3" ht="15">
      <c r="B6" s="200">
        <v>3</v>
      </c>
      <c r="C6" t="s">
        <v>468</v>
      </c>
    </row>
    <row r="7" spans="2:3" ht="15">
      <c r="B7" s="200"/>
    </row>
    <row r="8" spans="2:3" ht="15">
      <c r="B8" s="200"/>
    </row>
    <row r="9" spans="2:3" ht="15">
      <c r="B9" s="200"/>
      <c r="C9" s="200" t="s">
        <v>469</v>
      </c>
    </row>
    <row r="10" spans="2:3" ht="15">
      <c r="B10" s="200"/>
    </row>
    <row r="11" spans="2:3" ht="15">
      <c r="B11" s="200">
        <v>1</v>
      </c>
      <c r="C11" t="s">
        <v>470</v>
      </c>
    </row>
    <row r="12" spans="2:3" ht="15">
      <c r="B12" s="200"/>
    </row>
    <row r="13" spans="2:3" ht="15">
      <c r="B13" s="200"/>
      <c r="C13" s="200" t="s">
        <v>471</v>
      </c>
    </row>
    <row r="14" spans="2:3" ht="15">
      <c r="B14" s="200"/>
    </row>
    <row r="15" spans="2:3" ht="15">
      <c r="B15" s="200">
        <v>1</v>
      </c>
      <c r="C15" t="s">
        <v>472</v>
      </c>
    </row>
    <row r="16" spans="2:3" ht="15">
      <c r="B16" s="200">
        <v>2</v>
      </c>
      <c r="C16" t="s">
        <v>473</v>
      </c>
    </row>
    <row r="17" spans="2:3" ht="15">
      <c r="B17" s="200">
        <v>3</v>
      </c>
      <c r="C17" t="s">
        <v>474</v>
      </c>
    </row>
    <row r="18" spans="2:3" ht="15">
      <c r="B18" s="200">
        <v>4</v>
      </c>
      <c r="C18" t="s">
        <v>475</v>
      </c>
    </row>
    <row r="19" spans="2:3" ht="15">
      <c r="B19" s="200">
        <v>5</v>
      </c>
      <c r="C19" t="s">
        <v>476</v>
      </c>
    </row>
    <row r="20" spans="2:3" ht="15">
      <c r="B20" s="200">
        <v>6</v>
      </c>
      <c r="C20" t="s">
        <v>477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A68F-40CE-4F5A-A28A-EC005A2F6AB7}">
  <sheetPr codeName="Sheet5" filterMode="1"/>
  <dimension ref="A1:S92"/>
  <sheetViews>
    <sheetView zoomScaleNormal="100" workbookViewId="0">
      <pane xSplit="2" ySplit="6" topLeftCell="C7" activePane="bottomRight" state="frozen"/>
      <selection pane="bottomRight" activeCell="B14" sqref="B14"/>
      <selection pane="bottomLeft" activeCell="T13" sqref="T13"/>
      <selection pane="topRight"/>
    </sheetView>
  </sheetViews>
  <sheetFormatPr defaultColWidth="9" defaultRowHeight="15" customHeight="1"/>
  <cols>
    <col min="1" max="1" width="10.7109375" style="4" customWidth="1"/>
    <col min="2" max="2" width="34.5703125" style="4" customWidth="1"/>
    <col min="3" max="3" width="11" style="4" customWidth="1"/>
    <col min="4" max="4" width="9.5703125" style="4" customWidth="1"/>
    <col min="5" max="11" width="11" style="4" customWidth="1"/>
    <col min="12" max="12" width="12.28515625" style="4" customWidth="1"/>
    <col min="13" max="13" width="12.5703125" style="4" customWidth="1"/>
    <col min="14" max="16" width="11" style="4" customWidth="1"/>
    <col min="17" max="17" width="11.5703125" style="4" customWidth="1"/>
    <col min="18" max="18" width="81.85546875" style="4" customWidth="1"/>
    <col min="19" max="16384" width="9" style="4"/>
  </cols>
  <sheetData>
    <row r="1" spans="1:19" ht="12.75">
      <c r="A1" s="1"/>
      <c r="B1" s="558" t="s">
        <v>478</v>
      </c>
      <c r="C1" s="558"/>
      <c r="D1" s="558"/>
      <c r="E1" s="558"/>
      <c r="F1" s="558"/>
      <c r="G1" s="558"/>
      <c r="H1" s="558"/>
      <c r="I1" s="558"/>
      <c r="J1" s="558"/>
      <c r="K1" s="558"/>
      <c r="L1" s="2"/>
      <c r="M1" s="2"/>
      <c r="N1" s="2"/>
      <c r="O1" s="2"/>
      <c r="P1" s="2"/>
      <c r="Q1" s="3"/>
      <c r="R1" s="1"/>
      <c r="S1" s="1"/>
    </row>
    <row r="2" spans="1:19" ht="12.75">
      <c r="A2" s="1"/>
      <c r="B2" s="558" t="s">
        <v>281</v>
      </c>
      <c r="C2" s="558"/>
      <c r="D2" s="558"/>
      <c r="E2" s="558"/>
      <c r="F2" s="558"/>
      <c r="G2" s="558"/>
      <c r="H2" s="558"/>
      <c r="I2" s="558"/>
      <c r="J2" s="558"/>
      <c r="K2" s="558"/>
      <c r="L2" s="1"/>
      <c r="M2" s="1"/>
      <c r="N2" s="1"/>
      <c r="O2" s="1"/>
      <c r="P2" s="1"/>
      <c r="Q2" s="1"/>
      <c r="R2" s="1"/>
      <c r="S2" s="1"/>
    </row>
    <row r="3" spans="1:19" ht="12.75">
      <c r="A3" s="1"/>
      <c r="B3" s="560" t="s">
        <v>282</v>
      </c>
      <c r="C3" s="560"/>
      <c r="D3" s="560"/>
      <c r="E3" s="560"/>
      <c r="F3" s="560"/>
      <c r="G3" s="560"/>
      <c r="H3" s="560"/>
      <c r="I3" s="560"/>
      <c r="J3" s="560"/>
      <c r="K3" s="560"/>
      <c r="L3" s="1"/>
      <c r="M3" s="1"/>
      <c r="N3" s="1"/>
      <c r="O3" s="1"/>
      <c r="P3" s="1"/>
      <c r="Q3" s="1"/>
      <c r="R3" s="1"/>
      <c r="S3" s="1"/>
    </row>
    <row r="4" spans="1:19" ht="12.75">
      <c r="A4" s="1"/>
      <c r="B4" s="3"/>
      <c r="C4" s="3"/>
      <c r="D4" s="3"/>
      <c r="E4" s="1"/>
      <c r="F4" s="1"/>
      <c r="G4" s="1"/>
      <c r="H4" s="1"/>
      <c r="I4" s="1"/>
      <c r="J4" s="1"/>
      <c r="K4" s="1"/>
      <c r="L4" s="1"/>
      <c r="M4" s="1"/>
      <c r="N4" s="1"/>
      <c r="O4" s="1"/>
      <c r="P4" s="1"/>
      <c r="Q4" s="1"/>
      <c r="R4" s="1"/>
      <c r="S4" s="1"/>
    </row>
    <row r="5" spans="1:19" ht="12.75">
      <c r="A5" s="1"/>
      <c r="B5" s="1"/>
      <c r="C5" s="1"/>
      <c r="D5" s="1"/>
      <c r="E5" s="5" t="s">
        <v>74</v>
      </c>
      <c r="F5" s="5" t="s">
        <v>74</v>
      </c>
      <c r="G5" s="5" t="s">
        <v>74</v>
      </c>
      <c r="H5" s="5" t="s">
        <v>74</v>
      </c>
      <c r="I5" s="5" t="s">
        <v>74</v>
      </c>
      <c r="J5" s="5" t="s">
        <v>74</v>
      </c>
      <c r="K5" s="1" t="s">
        <v>74</v>
      </c>
      <c r="L5" s="5" t="s">
        <v>74</v>
      </c>
      <c r="M5" s="5" t="s">
        <v>74</v>
      </c>
      <c r="N5" s="5" t="s">
        <v>74</v>
      </c>
      <c r="O5" s="5" t="s">
        <v>74</v>
      </c>
      <c r="P5" s="5" t="s">
        <v>74</v>
      </c>
      <c r="Q5" s="1"/>
      <c r="R5" s="1"/>
      <c r="S5" s="1"/>
    </row>
    <row r="6" spans="1:19" ht="15.75" customHeight="1">
      <c r="A6" s="3" t="s">
        <v>479</v>
      </c>
      <c r="B6" s="6"/>
      <c r="C6" s="6" t="s">
        <v>2</v>
      </c>
      <c r="D6" s="6" t="s">
        <v>3</v>
      </c>
      <c r="E6" s="6" t="s">
        <v>480</v>
      </c>
      <c r="F6" s="6" t="s">
        <v>481</v>
      </c>
      <c r="G6" s="6" t="s">
        <v>482</v>
      </c>
      <c r="H6" s="6" t="s">
        <v>483</v>
      </c>
      <c r="I6" s="6" t="s">
        <v>484</v>
      </c>
      <c r="J6" s="6" t="s">
        <v>485</v>
      </c>
      <c r="K6" s="7" t="s">
        <v>486</v>
      </c>
      <c r="L6" s="114">
        <v>45505</v>
      </c>
      <c r="M6" s="8">
        <v>45559</v>
      </c>
      <c r="N6" s="8">
        <v>45589</v>
      </c>
      <c r="O6" s="9">
        <v>45597</v>
      </c>
      <c r="P6" s="9">
        <v>45627</v>
      </c>
      <c r="Q6" s="9" t="s">
        <v>16</v>
      </c>
      <c r="R6" s="10" t="s">
        <v>17</v>
      </c>
      <c r="S6" s="1"/>
    </row>
    <row r="7" spans="1:19" ht="12.75">
      <c r="A7" s="1"/>
      <c r="B7" s="11" t="s">
        <v>487</v>
      </c>
      <c r="C7" s="11"/>
      <c r="D7" s="11"/>
      <c r="E7" s="12"/>
      <c r="F7" s="12"/>
      <c r="G7" s="12"/>
      <c r="H7" s="12"/>
      <c r="I7" s="12"/>
      <c r="J7" s="12"/>
      <c r="K7" s="13"/>
      <c r="L7" s="115"/>
      <c r="M7" s="14"/>
      <c r="N7" s="14"/>
      <c r="O7" s="15"/>
      <c r="P7" s="15"/>
      <c r="Q7" s="15"/>
      <c r="R7" s="16"/>
      <c r="S7" s="1"/>
    </row>
    <row r="8" spans="1:19" ht="12.75">
      <c r="A8" s="17" t="s">
        <v>488</v>
      </c>
      <c r="B8" s="17" t="s">
        <v>489</v>
      </c>
      <c r="C8" s="18" t="s">
        <v>94</v>
      </c>
      <c r="D8" s="18" t="s">
        <v>95</v>
      </c>
      <c r="E8" s="19"/>
      <c r="F8" s="19"/>
      <c r="G8" s="19"/>
      <c r="H8" s="20">
        <f>4000</f>
        <v>4000</v>
      </c>
      <c r="I8" s="20">
        <f>4000</f>
        <v>4000</v>
      </c>
      <c r="J8" s="20">
        <f>4000</f>
        <v>4000</v>
      </c>
      <c r="K8" s="21">
        <v>4000</v>
      </c>
      <c r="L8" s="116">
        <v>4000</v>
      </c>
      <c r="M8" s="120">
        <v>4000</v>
      </c>
      <c r="N8" s="120">
        <v>4000</v>
      </c>
      <c r="O8" s="19">
        <v>4000</v>
      </c>
      <c r="P8" s="19">
        <v>4000</v>
      </c>
      <c r="Q8" s="19">
        <f>SUM(E8:P8)</f>
        <v>36000</v>
      </c>
      <c r="R8" s="22"/>
      <c r="S8" s="1"/>
    </row>
    <row r="9" spans="1:19" ht="12.75">
      <c r="A9" s="17" t="s">
        <v>488</v>
      </c>
      <c r="B9" s="17" t="s">
        <v>490</v>
      </c>
      <c r="C9" s="18" t="s">
        <v>94</v>
      </c>
      <c r="D9" s="18" t="s">
        <v>95</v>
      </c>
      <c r="E9" s="20">
        <f>86475</f>
        <v>86475</v>
      </c>
      <c r="F9" s="20">
        <f>45880</f>
        <v>45880</v>
      </c>
      <c r="G9" s="20">
        <f>45880</f>
        <v>45880</v>
      </c>
      <c r="H9" s="20">
        <f>45880</f>
        <v>45880</v>
      </c>
      <c r="I9" s="20">
        <f>40080</f>
        <v>40080</v>
      </c>
      <c r="J9" s="20">
        <f>40080</f>
        <v>40080</v>
      </c>
      <c r="K9" s="21">
        <f>40080</f>
        <v>40080</v>
      </c>
      <c r="L9" s="116">
        <v>40430</v>
      </c>
      <c r="M9" s="120">
        <v>40430</v>
      </c>
      <c r="N9" s="120">
        <v>40430</v>
      </c>
      <c r="O9" s="19">
        <f>(36580+3850)</f>
        <v>40430</v>
      </c>
      <c r="P9" s="19">
        <v>40809</v>
      </c>
      <c r="Q9" s="19">
        <f t="shared" ref="Q9:Q37" si="0">SUM(E9:P9)</f>
        <v>546884</v>
      </c>
      <c r="R9" s="22"/>
      <c r="S9" s="1"/>
    </row>
    <row r="10" spans="1:19" ht="12.75">
      <c r="A10" s="17" t="s">
        <v>491</v>
      </c>
      <c r="B10" s="102" t="s">
        <v>492</v>
      </c>
      <c r="C10" s="18" t="s">
        <v>94</v>
      </c>
      <c r="D10" s="18" t="s">
        <v>101</v>
      </c>
      <c r="E10" s="19"/>
      <c r="F10" s="19"/>
      <c r="G10" s="19"/>
      <c r="H10" s="19"/>
      <c r="I10" s="20">
        <f>4500</f>
        <v>4500</v>
      </c>
      <c r="J10" s="20">
        <f>4748</f>
        <v>4748</v>
      </c>
      <c r="K10" s="21">
        <v>2800</v>
      </c>
      <c r="L10" s="117">
        <v>3640</v>
      </c>
      <c r="M10" s="120"/>
      <c r="N10" s="120">
        <v>3395</v>
      </c>
      <c r="O10" s="19"/>
      <c r="P10" s="19"/>
      <c r="Q10" s="19">
        <f t="shared" si="0"/>
        <v>19083</v>
      </c>
      <c r="R10" s="22"/>
      <c r="S10" s="1"/>
    </row>
    <row r="11" spans="1:19" ht="12.75">
      <c r="A11" s="17" t="s">
        <v>488</v>
      </c>
      <c r="B11" s="17" t="s">
        <v>493</v>
      </c>
      <c r="C11" s="18" t="s">
        <v>94</v>
      </c>
      <c r="D11" s="18" t="s">
        <v>95</v>
      </c>
      <c r="E11" s="20">
        <f>5000</f>
        <v>5000</v>
      </c>
      <c r="F11" s="19"/>
      <c r="G11" s="20">
        <f>10200</f>
        <v>10200</v>
      </c>
      <c r="H11" s="19"/>
      <c r="I11" s="19"/>
      <c r="J11" s="20">
        <f>4995</f>
        <v>4995</v>
      </c>
      <c r="K11" s="23"/>
      <c r="L11" s="116">
        <v>5000</v>
      </c>
      <c r="M11" s="120"/>
      <c r="N11" s="120">
        <v>4995</v>
      </c>
      <c r="O11" s="19"/>
      <c r="P11" s="19"/>
      <c r="Q11" s="19"/>
      <c r="R11" s="22"/>
      <c r="S11" s="1"/>
    </row>
    <row r="12" spans="1:19" ht="12.75">
      <c r="A12" s="17" t="s">
        <v>488</v>
      </c>
      <c r="B12" s="17" t="s">
        <v>494</v>
      </c>
      <c r="C12" s="18" t="s">
        <v>94</v>
      </c>
      <c r="D12" s="18" t="s">
        <v>95</v>
      </c>
      <c r="E12" s="20">
        <f>9950</f>
        <v>9950</v>
      </c>
      <c r="F12" s="20">
        <f>3500</f>
        <v>3500</v>
      </c>
      <c r="G12" s="20">
        <f>3500</f>
        <v>3500</v>
      </c>
      <c r="H12" s="20">
        <f>3500</f>
        <v>3500</v>
      </c>
      <c r="I12" s="19"/>
      <c r="J12" s="20">
        <f>3500</f>
        <v>3500</v>
      </c>
      <c r="K12" s="23">
        <f>7000</f>
        <v>7000</v>
      </c>
      <c r="L12" s="116">
        <v>3500</v>
      </c>
      <c r="M12" s="120">
        <v>3500</v>
      </c>
      <c r="N12" s="120">
        <v>3500</v>
      </c>
      <c r="O12" s="19">
        <v>4025</v>
      </c>
      <c r="P12" s="19">
        <v>3500</v>
      </c>
      <c r="Q12" s="19">
        <f t="shared" si="0"/>
        <v>48975</v>
      </c>
      <c r="R12" s="22"/>
      <c r="S12" s="1"/>
    </row>
    <row r="13" spans="1:19" ht="12.75">
      <c r="A13" s="17" t="s">
        <v>488</v>
      </c>
      <c r="B13" s="17" t="s">
        <v>495</v>
      </c>
      <c r="C13" s="18" t="s">
        <v>94</v>
      </c>
      <c r="D13" s="18" t="s">
        <v>101</v>
      </c>
      <c r="E13" s="20">
        <f>7500</f>
        <v>7500</v>
      </c>
      <c r="F13" s="19"/>
      <c r="G13" s="19"/>
      <c r="H13" s="19"/>
      <c r="I13" s="19"/>
      <c r="J13" s="19"/>
      <c r="K13" s="23"/>
      <c r="L13" s="116"/>
      <c r="M13" s="120"/>
      <c r="N13" s="120"/>
      <c r="O13" s="19"/>
      <c r="P13" s="19"/>
      <c r="Q13" s="19">
        <f t="shared" si="0"/>
        <v>7500</v>
      </c>
      <c r="R13" s="22"/>
      <c r="S13" s="1"/>
    </row>
    <row r="14" spans="1:19" ht="12.75">
      <c r="A14" s="17" t="s">
        <v>488</v>
      </c>
      <c r="B14" s="17" t="s">
        <v>111</v>
      </c>
      <c r="C14" s="18" t="s">
        <v>94</v>
      </c>
      <c r="D14" s="18" t="s">
        <v>95</v>
      </c>
      <c r="E14" s="20">
        <v>51450</v>
      </c>
      <c r="F14" s="20">
        <v>51450</v>
      </c>
      <c r="G14" s="20">
        <v>51450</v>
      </c>
      <c r="H14" s="20">
        <v>51450</v>
      </c>
      <c r="I14" s="20">
        <v>51450</v>
      </c>
      <c r="J14" s="20">
        <v>51450</v>
      </c>
      <c r="K14" s="21">
        <v>51450</v>
      </c>
      <c r="L14" s="117">
        <v>51450</v>
      </c>
      <c r="M14" s="120">
        <v>51450</v>
      </c>
      <c r="N14" s="120">
        <v>114990</v>
      </c>
      <c r="O14" s="20">
        <f>51450+4950+3875+3875</f>
        <v>64150</v>
      </c>
      <c r="P14" s="20">
        <v>64175</v>
      </c>
      <c r="Q14" s="19">
        <f t="shared" si="0"/>
        <v>706365</v>
      </c>
      <c r="R14" s="22"/>
      <c r="S14" s="1"/>
    </row>
    <row r="15" spans="1:19" ht="12.75">
      <c r="A15" s="17" t="s">
        <v>488</v>
      </c>
      <c r="B15" s="17" t="s">
        <v>113</v>
      </c>
      <c r="C15" s="18" t="s">
        <v>94</v>
      </c>
      <c r="D15" s="18" t="s">
        <v>95</v>
      </c>
      <c r="E15" s="20"/>
      <c r="F15" s="19"/>
      <c r="G15" s="19"/>
      <c r="H15" s="19"/>
      <c r="I15" s="19">
        <v>5000</v>
      </c>
      <c r="J15" s="19">
        <v>5000</v>
      </c>
      <c r="K15" s="23">
        <v>5000</v>
      </c>
      <c r="L15" s="116">
        <v>5000</v>
      </c>
      <c r="M15" s="120">
        <v>5000</v>
      </c>
      <c r="N15" s="120">
        <v>5000</v>
      </c>
      <c r="O15" s="19">
        <v>5000</v>
      </c>
      <c r="P15" s="19">
        <v>5000</v>
      </c>
      <c r="Q15" s="19">
        <f t="shared" si="0"/>
        <v>40000</v>
      </c>
      <c r="R15" s="22"/>
      <c r="S15" s="1"/>
    </row>
    <row r="16" spans="1:19" ht="22.5">
      <c r="A16" s="17" t="s">
        <v>488</v>
      </c>
      <c r="B16" s="17" t="s">
        <v>115</v>
      </c>
      <c r="C16" s="18" t="s">
        <v>94</v>
      </c>
      <c r="D16" s="18" t="s">
        <v>95</v>
      </c>
      <c r="E16" s="20"/>
      <c r="F16" s="19"/>
      <c r="G16" s="19"/>
      <c r="H16" s="19"/>
      <c r="I16" s="19">
        <v>13950</v>
      </c>
      <c r="J16" s="19">
        <v>23125</v>
      </c>
      <c r="K16" s="23">
        <v>23950</v>
      </c>
      <c r="L16" s="116">
        <v>30086</v>
      </c>
      <c r="M16" s="120">
        <v>34236</v>
      </c>
      <c r="N16" s="120">
        <v>40189</v>
      </c>
      <c r="O16" s="19">
        <v>58993</v>
      </c>
      <c r="P16" s="19">
        <v>77282</v>
      </c>
      <c r="Q16" s="19">
        <f t="shared" si="0"/>
        <v>301811</v>
      </c>
      <c r="R16" s="22"/>
      <c r="S16" s="1"/>
    </row>
    <row r="17" spans="1:19" ht="12.75">
      <c r="A17" s="17" t="s">
        <v>488</v>
      </c>
      <c r="B17" s="17" t="s">
        <v>116</v>
      </c>
      <c r="C17" s="18" t="s">
        <v>94</v>
      </c>
      <c r="D17" s="18" t="s">
        <v>95</v>
      </c>
      <c r="E17" s="20"/>
      <c r="F17" s="19"/>
      <c r="G17" s="19"/>
      <c r="H17" s="19"/>
      <c r="I17" s="19">
        <v>4500</v>
      </c>
      <c r="J17" s="19">
        <v>4500</v>
      </c>
      <c r="K17" s="23">
        <v>4500</v>
      </c>
      <c r="L17" s="116">
        <v>4500</v>
      </c>
      <c r="M17" s="120">
        <v>4500</v>
      </c>
      <c r="N17" s="120">
        <v>4500</v>
      </c>
      <c r="O17" s="19">
        <v>4500</v>
      </c>
      <c r="P17" s="19">
        <v>4500</v>
      </c>
      <c r="Q17" s="19">
        <f t="shared" si="0"/>
        <v>36000</v>
      </c>
      <c r="R17" s="22"/>
      <c r="S17" s="1"/>
    </row>
    <row r="18" spans="1:19" ht="12.75">
      <c r="A18" s="17" t="s">
        <v>488</v>
      </c>
      <c r="B18" s="17" t="s">
        <v>496</v>
      </c>
      <c r="C18" s="18" t="s">
        <v>94</v>
      </c>
      <c r="D18" s="18" t="s">
        <v>95</v>
      </c>
      <c r="E18" s="20"/>
      <c r="F18" s="19"/>
      <c r="G18" s="19"/>
      <c r="H18" s="19"/>
      <c r="I18" s="19"/>
      <c r="J18" s="19">
        <v>3875</v>
      </c>
      <c r="K18" s="23">
        <v>3875</v>
      </c>
      <c r="L18" s="116">
        <v>3875</v>
      </c>
      <c r="M18" s="120">
        <v>3875</v>
      </c>
      <c r="N18" s="120"/>
      <c r="O18" s="19"/>
      <c r="P18" s="19"/>
      <c r="Q18" s="19">
        <f t="shared" si="0"/>
        <v>15500</v>
      </c>
      <c r="R18" s="22" t="s">
        <v>497</v>
      </c>
      <c r="S18" s="1"/>
    </row>
    <row r="19" spans="1:19" ht="12.75">
      <c r="A19" s="17" t="s">
        <v>488</v>
      </c>
      <c r="B19" s="17" t="s">
        <v>124</v>
      </c>
      <c r="C19" s="18" t="s">
        <v>94</v>
      </c>
      <c r="D19" s="18" t="s">
        <v>95</v>
      </c>
      <c r="E19" s="20">
        <f>73000</f>
        <v>73000</v>
      </c>
      <c r="F19" s="20">
        <f>73000</f>
        <v>73000</v>
      </c>
      <c r="G19" s="20">
        <f>73000</f>
        <v>73000</v>
      </c>
      <c r="H19" s="20">
        <f>73000</f>
        <v>73000</v>
      </c>
      <c r="I19" s="19"/>
      <c r="J19" s="20">
        <f>39000</f>
        <v>39000</v>
      </c>
      <c r="K19" s="21">
        <f>39000</f>
        <v>39000</v>
      </c>
      <c r="L19" s="116">
        <v>39000</v>
      </c>
      <c r="M19" s="120">
        <v>39000</v>
      </c>
      <c r="N19" s="120">
        <v>39000</v>
      </c>
      <c r="O19" s="19">
        <v>39000</v>
      </c>
      <c r="P19" s="19">
        <v>39000</v>
      </c>
      <c r="Q19" s="19">
        <f t="shared" si="0"/>
        <v>565000</v>
      </c>
      <c r="R19" s="22"/>
      <c r="S19" s="1"/>
    </row>
    <row r="20" spans="1:19" ht="12.75">
      <c r="A20" s="17" t="s">
        <v>488</v>
      </c>
      <c r="B20" s="17" t="s">
        <v>498</v>
      </c>
      <c r="C20" s="18" t="s">
        <v>94</v>
      </c>
      <c r="D20" s="18" t="s">
        <v>95</v>
      </c>
      <c r="E20" s="20">
        <f>5000</f>
        <v>5000</v>
      </c>
      <c r="F20" s="20">
        <f>94135</f>
        <v>94135</v>
      </c>
      <c r="G20" s="20">
        <f>59525</f>
        <v>59525</v>
      </c>
      <c r="H20" s="20">
        <f>44000</f>
        <v>44000</v>
      </c>
      <c r="I20" s="19"/>
      <c r="J20" s="20">
        <f>3096.38</f>
        <v>3096.38</v>
      </c>
      <c r="K20" s="21">
        <f>36000</f>
        <v>36000</v>
      </c>
      <c r="L20" s="116">
        <v>42625</v>
      </c>
      <c r="M20" s="120">
        <v>45010</v>
      </c>
      <c r="N20" s="120">
        <v>55000</v>
      </c>
      <c r="O20" s="19">
        <v>39625</v>
      </c>
      <c r="P20" s="19"/>
      <c r="Q20" s="19">
        <f t="shared" si="0"/>
        <v>424016.38</v>
      </c>
      <c r="R20" s="22"/>
      <c r="S20" s="1"/>
    </row>
    <row r="21" spans="1:19" ht="12.75">
      <c r="A21" s="17" t="s">
        <v>488</v>
      </c>
      <c r="B21" s="17" t="s">
        <v>499</v>
      </c>
      <c r="C21" s="18" t="s">
        <v>94</v>
      </c>
      <c r="D21" s="18" t="s">
        <v>101</v>
      </c>
      <c r="E21" s="20">
        <f>36135</f>
        <v>36135</v>
      </c>
      <c r="F21" s="19"/>
      <c r="G21" s="19"/>
      <c r="H21" s="19"/>
      <c r="I21" s="19"/>
      <c r="J21" s="19"/>
      <c r="K21" s="23"/>
      <c r="L21" s="116"/>
      <c r="M21" s="120">
        <v>147928</v>
      </c>
      <c r="N21" s="120">
        <v>0</v>
      </c>
      <c r="O21" s="19"/>
      <c r="P21" s="19"/>
      <c r="Q21" s="19">
        <f t="shared" si="0"/>
        <v>184063</v>
      </c>
      <c r="R21" s="22"/>
      <c r="S21" s="1"/>
    </row>
    <row r="22" spans="1:19" ht="12.75">
      <c r="A22" s="17" t="s">
        <v>488</v>
      </c>
      <c r="B22" s="17" t="s">
        <v>349</v>
      </c>
      <c r="C22" s="18" t="s">
        <v>94</v>
      </c>
      <c r="D22" s="18" t="s">
        <v>101</v>
      </c>
      <c r="E22" s="19"/>
      <c r="F22" s="20">
        <f>243</f>
        <v>243</v>
      </c>
      <c r="G22" s="19"/>
      <c r="H22" s="19"/>
      <c r="I22" s="19"/>
      <c r="J22" s="19"/>
      <c r="K22" s="23"/>
      <c r="L22" s="116">
        <v>4270</v>
      </c>
      <c r="M22" s="120"/>
      <c r="N22" s="120"/>
      <c r="O22" s="19"/>
      <c r="P22" s="19"/>
      <c r="Q22" s="19">
        <f t="shared" si="0"/>
        <v>4513</v>
      </c>
      <c r="R22" s="22"/>
      <c r="S22" s="1"/>
    </row>
    <row r="23" spans="1:19" ht="12.75">
      <c r="A23" s="17" t="s">
        <v>488</v>
      </c>
      <c r="B23" s="17" t="s">
        <v>500</v>
      </c>
      <c r="C23" s="18" t="s">
        <v>94</v>
      </c>
      <c r="D23" s="18" t="s">
        <v>95</v>
      </c>
      <c r="E23" s="20">
        <f>4000</f>
        <v>4000</v>
      </c>
      <c r="F23" s="20">
        <f>4000</f>
        <v>4000</v>
      </c>
      <c r="G23" s="20">
        <f>4000</f>
        <v>4000</v>
      </c>
      <c r="H23" s="20">
        <f>5250</f>
        <v>5250</v>
      </c>
      <c r="I23" s="19"/>
      <c r="J23" s="20">
        <f>5250</f>
        <v>5250</v>
      </c>
      <c r="K23" s="23">
        <f>8000</f>
        <v>8000</v>
      </c>
      <c r="L23" s="116">
        <v>4000</v>
      </c>
      <c r="M23" s="120">
        <v>4000</v>
      </c>
      <c r="N23" s="120">
        <v>4000</v>
      </c>
      <c r="O23" s="19">
        <v>4000</v>
      </c>
      <c r="P23" s="19">
        <v>4000</v>
      </c>
      <c r="Q23" s="19">
        <f t="shared" si="0"/>
        <v>50500</v>
      </c>
      <c r="R23" s="22"/>
      <c r="S23" s="1"/>
    </row>
    <row r="24" spans="1:19" ht="22.5">
      <c r="A24" s="17" t="s">
        <v>488</v>
      </c>
      <c r="B24" s="17" t="s">
        <v>501</v>
      </c>
      <c r="C24" s="18" t="s">
        <v>94</v>
      </c>
      <c r="D24" s="18" t="s">
        <v>101</v>
      </c>
      <c r="E24" s="20">
        <f>10000</f>
        <v>10000</v>
      </c>
      <c r="F24" s="19"/>
      <c r="G24" s="19"/>
      <c r="H24" s="20">
        <f>6150</f>
        <v>6150</v>
      </c>
      <c r="I24" s="19"/>
      <c r="J24" s="20">
        <f>15400</f>
        <v>15400</v>
      </c>
      <c r="K24" s="21">
        <f>15400</f>
        <v>15400</v>
      </c>
      <c r="L24" s="116">
        <v>30800</v>
      </c>
      <c r="M24" s="120"/>
      <c r="N24" s="120"/>
      <c r="O24" s="19"/>
      <c r="P24" s="19"/>
      <c r="Q24" s="19">
        <f t="shared" si="0"/>
        <v>77750</v>
      </c>
      <c r="R24" s="22"/>
      <c r="S24" s="1"/>
    </row>
    <row r="25" spans="1:19" ht="12.75">
      <c r="A25" s="17" t="s">
        <v>488</v>
      </c>
      <c r="B25" s="17" t="s">
        <v>502</v>
      </c>
      <c r="C25" s="18" t="s">
        <v>94</v>
      </c>
      <c r="D25" s="18" t="s">
        <v>101</v>
      </c>
      <c r="E25" s="19"/>
      <c r="F25" s="19"/>
      <c r="G25" s="19"/>
      <c r="H25" s="20">
        <f>9000</f>
        <v>9000</v>
      </c>
      <c r="I25" s="19"/>
      <c r="J25" s="20">
        <f>8000</f>
        <v>8000</v>
      </c>
      <c r="K25" s="21">
        <f>8000</f>
        <v>8000</v>
      </c>
      <c r="L25" s="116"/>
      <c r="M25" s="120"/>
      <c r="N25" s="120"/>
      <c r="O25" s="19"/>
      <c r="P25" s="19"/>
      <c r="Q25" s="19">
        <f t="shared" si="0"/>
        <v>25000</v>
      </c>
      <c r="R25" s="22"/>
      <c r="S25" s="1"/>
    </row>
    <row r="26" spans="1:19" ht="22.5">
      <c r="A26" s="17" t="s">
        <v>488</v>
      </c>
      <c r="B26" s="17" t="s">
        <v>503</v>
      </c>
      <c r="C26" s="18" t="s">
        <v>94</v>
      </c>
      <c r="D26" s="18"/>
      <c r="E26" s="20">
        <v>45836</v>
      </c>
      <c r="F26" s="20">
        <v>50736</v>
      </c>
      <c r="G26" s="20">
        <v>42966</v>
      </c>
      <c r="H26" s="20">
        <v>50946</v>
      </c>
      <c r="I26" s="20">
        <v>51366</v>
      </c>
      <c r="J26" s="20">
        <v>60536</v>
      </c>
      <c r="K26" s="21">
        <v>70826</v>
      </c>
      <c r="L26" s="116">
        <v>65646</v>
      </c>
      <c r="M26" s="120">
        <v>64668</v>
      </c>
      <c r="N26" s="120">
        <v>72688</v>
      </c>
      <c r="O26" s="19">
        <v>74506</v>
      </c>
      <c r="P26" s="19">
        <v>66386</v>
      </c>
      <c r="Q26" s="19">
        <f t="shared" si="0"/>
        <v>717106</v>
      </c>
      <c r="R26" s="22"/>
      <c r="S26" s="1"/>
    </row>
    <row r="27" spans="1:19" ht="12.75">
      <c r="A27" s="17" t="s">
        <v>488</v>
      </c>
      <c r="B27" s="17" t="s">
        <v>504</v>
      </c>
      <c r="C27" s="18" t="s">
        <v>94</v>
      </c>
      <c r="D27" s="18" t="s">
        <v>95</v>
      </c>
      <c r="E27" s="19"/>
      <c r="F27" s="19"/>
      <c r="G27" s="20">
        <v>10800</v>
      </c>
      <c r="H27" s="20">
        <v>9464</v>
      </c>
      <c r="I27" s="20">
        <v>0</v>
      </c>
      <c r="J27" s="20">
        <v>9464</v>
      </c>
      <c r="K27" s="21">
        <v>10050</v>
      </c>
      <c r="L27" s="116">
        <v>18300</v>
      </c>
      <c r="M27" s="120">
        <v>6872</v>
      </c>
      <c r="N27" s="120">
        <v>7528</v>
      </c>
      <c r="O27" s="24">
        <v>7050</v>
      </c>
      <c r="P27" s="24">
        <v>7050</v>
      </c>
      <c r="Q27" s="19">
        <f t="shared" si="0"/>
        <v>86578</v>
      </c>
      <c r="R27" s="22"/>
      <c r="S27" s="1"/>
    </row>
    <row r="28" spans="1:19" ht="12.75">
      <c r="A28" s="17" t="s">
        <v>491</v>
      </c>
      <c r="B28" s="102" t="s">
        <v>505</v>
      </c>
      <c r="C28" s="18" t="s">
        <v>94</v>
      </c>
      <c r="D28" s="18" t="s">
        <v>101</v>
      </c>
      <c r="E28" s="19"/>
      <c r="F28" s="19"/>
      <c r="G28" s="20">
        <f>2800</f>
        <v>2800</v>
      </c>
      <c r="H28" s="20">
        <f>2100</f>
        <v>2100</v>
      </c>
      <c r="I28" s="19"/>
      <c r="J28" s="19"/>
      <c r="K28" s="23"/>
      <c r="L28" s="116"/>
      <c r="M28" s="120"/>
      <c r="N28" s="120"/>
      <c r="O28" s="19"/>
      <c r="P28" s="19"/>
      <c r="Q28" s="19">
        <f t="shared" si="0"/>
        <v>4900</v>
      </c>
      <c r="R28" s="22"/>
      <c r="S28" s="1"/>
    </row>
    <row r="29" spans="1:19" ht="12.75">
      <c r="A29" s="17" t="s">
        <v>488</v>
      </c>
      <c r="B29" s="17" t="s">
        <v>506</v>
      </c>
      <c r="C29" s="18" t="s">
        <v>94</v>
      </c>
      <c r="D29" s="18" t="s">
        <v>95</v>
      </c>
      <c r="E29" s="20">
        <f>16000</f>
        <v>16000</v>
      </c>
      <c r="F29" s="20">
        <f>16000</f>
        <v>16000</v>
      </c>
      <c r="G29" s="20">
        <f>16000</f>
        <v>16000</v>
      </c>
      <c r="H29" s="20">
        <f>16000</f>
        <v>16000</v>
      </c>
      <c r="I29" s="20">
        <f>16000</f>
        <v>16000</v>
      </c>
      <c r="J29" s="20">
        <f>16000</f>
        <v>16000</v>
      </c>
      <c r="K29" s="21">
        <f>16000</f>
        <v>16000</v>
      </c>
      <c r="L29" s="116">
        <v>16000</v>
      </c>
      <c r="M29" s="120">
        <v>16000</v>
      </c>
      <c r="N29" s="120">
        <v>16000</v>
      </c>
      <c r="O29" s="19">
        <v>16000</v>
      </c>
      <c r="P29" s="19">
        <v>16000</v>
      </c>
      <c r="Q29" s="19">
        <f t="shared" si="0"/>
        <v>192000</v>
      </c>
      <c r="R29" s="22"/>
      <c r="S29" s="1"/>
    </row>
    <row r="30" spans="1:19" ht="12.75">
      <c r="A30" s="17" t="s">
        <v>491</v>
      </c>
      <c r="B30" s="102" t="s">
        <v>507</v>
      </c>
      <c r="C30" s="18" t="s">
        <v>94</v>
      </c>
      <c r="D30" s="18" t="s">
        <v>101</v>
      </c>
      <c r="E30" s="20"/>
      <c r="F30" s="20"/>
      <c r="G30" s="20"/>
      <c r="H30" s="20"/>
      <c r="I30" s="20"/>
      <c r="J30" s="20"/>
      <c r="K30" s="21"/>
      <c r="L30" s="116"/>
      <c r="M30" s="120"/>
      <c r="N30" s="120"/>
      <c r="O30" s="19"/>
      <c r="P30" s="19"/>
      <c r="Q30" s="19">
        <f t="shared" si="0"/>
        <v>0</v>
      </c>
      <c r="R30" s="22"/>
      <c r="S30" s="1"/>
    </row>
    <row r="31" spans="1:19" ht="12.75">
      <c r="A31" s="17" t="s">
        <v>488</v>
      </c>
      <c r="B31" s="17" t="s">
        <v>508</v>
      </c>
      <c r="C31" s="18" t="s">
        <v>94</v>
      </c>
      <c r="D31" s="18" t="s">
        <v>95</v>
      </c>
      <c r="E31" s="20">
        <f>14000</f>
        <v>14000</v>
      </c>
      <c r="F31" s="20">
        <f>15500</f>
        <v>15500</v>
      </c>
      <c r="G31" s="20">
        <f>16574</f>
        <v>16574</v>
      </c>
      <c r="H31" s="20">
        <f>15500</f>
        <v>15500</v>
      </c>
      <c r="I31" s="20">
        <f>17420</f>
        <v>17420</v>
      </c>
      <c r="J31" s="20">
        <f>15500</f>
        <v>15500</v>
      </c>
      <c r="K31" s="21">
        <f>15500</f>
        <v>15500</v>
      </c>
      <c r="L31" s="116">
        <v>15500</v>
      </c>
      <c r="M31" s="120">
        <v>15500</v>
      </c>
      <c r="N31" s="120">
        <v>15500</v>
      </c>
      <c r="O31" s="19">
        <v>15500</v>
      </c>
      <c r="P31" s="19">
        <v>16460</v>
      </c>
      <c r="Q31" s="19">
        <f t="shared" si="0"/>
        <v>188454</v>
      </c>
      <c r="R31" s="22"/>
      <c r="S31" s="1"/>
    </row>
    <row r="32" spans="1:19" ht="12.75">
      <c r="A32" s="17" t="s">
        <v>488</v>
      </c>
      <c r="B32" s="17" t="s">
        <v>509</v>
      </c>
      <c r="C32" s="18" t="s">
        <v>413</v>
      </c>
      <c r="D32" s="18" t="s">
        <v>21</v>
      </c>
      <c r="E32" s="20">
        <v>13138</v>
      </c>
      <c r="F32" s="20">
        <v>16794</v>
      </c>
      <c r="G32" s="20">
        <v>9904</v>
      </c>
      <c r="H32" s="20">
        <v>12612</v>
      </c>
      <c r="I32" s="20">
        <v>14049</v>
      </c>
      <c r="J32" s="20">
        <v>19240</v>
      </c>
      <c r="K32" s="21">
        <v>25230</v>
      </c>
      <c r="L32" s="117">
        <v>26821</v>
      </c>
      <c r="M32" s="120">
        <v>27923</v>
      </c>
      <c r="N32" s="120">
        <v>27443</v>
      </c>
      <c r="O32" s="20">
        <v>23137.84</v>
      </c>
      <c r="P32" s="19">
        <v>27938.42</v>
      </c>
      <c r="Q32" s="19">
        <f t="shared" si="0"/>
        <v>244230.26</v>
      </c>
      <c r="R32" s="22"/>
      <c r="S32" s="1"/>
    </row>
    <row r="33" spans="1:19" ht="12.75">
      <c r="A33" s="17" t="s">
        <v>488</v>
      </c>
      <c r="B33" s="17" t="s">
        <v>510</v>
      </c>
      <c r="C33" s="18" t="s">
        <v>94</v>
      </c>
      <c r="D33" s="18" t="s">
        <v>95</v>
      </c>
      <c r="E33" s="20">
        <f>41975</f>
        <v>41975</v>
      </c>
      <c r="F33" s="20">
        <f>41975</f>
        <v>41975</v>
      </c>
      <c r="G33" s="20">
        <f>41975</f>
        <v>41975</v>
      </c>
      <c r="H33" s="20">
        <f>41975</f>
        <v>41975</v>
      </c>
      <c r="I33" s="20">
        <f>41975</f>
        <v>41975</v>
      </c>
      <c r="J33" s="20">
        <f>41975</f>
        <v>41975</v>
      </c>
      <c r="K33" s="21">
        <f>41975</f>
        <v>41975</v>
      </c>
      <c r="L33" s="117">
        <v>41975</v>
      </c>
      <c r="M33" s="120">
        <v>54445</v>
      </c>
      <c r="N33" s="120">
        <v>54445</v>
      </c>
      <c r="O33" s="20">
        <v>54445</v>
      </c>
      <c r="P33" s="20">
        <v>51975</v>
      </c>
      <c r="Q33" s="19">
        <f t="shared" si="0"/>
        <v>551110</v>
      </c>
      <c r="R33" s="22"/>
      <c r="S33" s="1"/>
    </row>
    <row r="34" spans="1:19" ht="12.75">
      <c r="A34" s="17" t="s">
        <v>488</v>
      </c>
      <c r="B34" s="17" t="s">
        <v>173</v>
      </c>
      <c r="C34" s="18" t="s">
        <v>94</v>
      </c>
      <c r="D34" s="18" t="s">
        <v>95</v>
      </c>
      <c r="E34" s="20">
        <v>16666</v>
      </c>
      <c r="F34" s="20">
        <v>16666</v>
      </c>
      <c r="G34" s="20">
        <v>16666</v>
      </c>
      <c r="H34" s="20">
        <v>16666</v>
      </c>
      <c r="I34" s="20">
        <v>16666</v>
      </c>
      <c r="J34" s="20">
        <v>16666</v>
      </c>
      <c r="K34" s="21">
        <v>17666</v>
      </c>
      <c r="L34" s="117">
        <v>16666</v>
      </c>
      <c r="M34" s="120">
        <v>16666</v>
      </c>
      <c r="N34" s="120">
        <v>16666</v>
      </c>
      <c r="O34" s="20">
        <v>16666</v>
      </c>
      <c r="P34" s="20">
        <v>16666</v>
      </c>
      <c r="Q34" s="19">
        <f t="shared" si="0"/>
        <v>200992</v>
      </c>
      <c r="R34" s="22"/>
      <c r="S34" s="1"/>
    </row>
    <row r="35" spans="1:19" ht="41.25" customHeight="1">
      <c r="A35" s="17" t="s">
        <v>488</v>
      </c>
      <c r="B35" s="17" t="s">
        <v>511</v>
      </c>
      <c r="C35" s="18" t="s">
        <v>94</v>
      </c>
      <c r="D35" s="18" t="s">
        <v>95</v>
      </c>
      <c r="E35" s="20">
        <v>36400</v>
      </c>
      <c r="F35" s="20">
        <v>36400</v>
      </c>
      <c r="G35" s="20">
        <v>36400</v>
      </c>
      <c r="H35" s="20">
        <v>36400</v>
      </c>
      <c r="I35" s="20">
        <v>36400</v>
      </c>
      <c r="J35" s="20">
        <v>41000</v>
      </c>
      <c r="K35" s="21">
        <v>45600</v>
      </c>
      <c r="L35" s="117">
        <v>45600</v>
      </c>
      <c r="M35" s="120">
        <v>45600</v>
      </c>
      <c r="N35" s="120">
        <v>45600</v>
      </c>
      <c r="O35" s="20">
        <v>39686</v>
      </c>
      <c r="P35" s="20">
        <v>41000</v>
      </c>
      <c r="Q35" s="19">
        <f t="shared" si="0"/>
        <v>486086</v>
      </c>
      <c r="R35" s="22"/>
      <c r="S35" s="1"/>
    </row>
    <row r="36" spans="1:19" ht="12.75">
      <c r="A36" s="17" t="s">
        <v>512</v>
      </c>
      <c r="B36" s="17" t="s">
        <v>513</v>
      </c>
      <c r="C36" s="18" t="s">
        <v>94</v>
      </c>
      <c r="D36" s="18" t="s">
        <v>95</v>
      </c>
      <c r="E36" s="20">
        <f>4000</f>
        <v>4000</v>
      </c>
      <c r="F36" s="20">
        <f>4000</f>
        <v>4000</v>
      </c>
      <c r="G36" s="20">
        <f>4000</f>
        <v>4000</v>
      </c>
      <c r="H36" s="20">
        <f>4000</f>
        <v>4000</v>
      </c>
      <c r="I36" s="20"/>
      <c r="J36" s="20">
        <f>4000</f>
        <v>4000</v>
      </c>
      <c r="K36" s="21"/>
      <c r="L36" s="117"/>
      <c r="M36" s="120"/>
      <c r="N36" s="120"/>
      <c r="O36" s="20"/>
      <c r="P36" s="20"/>
      <c r="Q36" s="19">
        <f t="shared" si="0"/>
        <v>20000</v>
      </c>
      <c r="R36" s="22"/>
      <c r="S36" s="1"/>
    </row>
    <row r="37" spans="1:19" ht="12.75">
      <c r="A37" s="17" t="s">
        <v>512</v>
      </c>
      <c r="B37" s="17" t="s">
        <v>514</v>
      </c>
      <c r="C37" s="18" t="s">
        <v>94</v>
      </c>
      <c r="D37" s="18" t="s">
        <v>95</v>
      </c>
      <c r="E37" s="20">
        <f>14906</f>
        <v>14906</v>
      </c>
      <c r="F37" s="20">
        <f>14907</f>
        <v>14907</v>
      </c>
      <c r="G37" s="20">
        <f>14906</f>
        <v>14906</v>
      </c>
      <c r="H37" s="20">
        <f>14906</f>
        <v>14906</v>
      </c>
      <c r="I37" s="20"/>
      <c r="J37" s="20">
        <f>14907</f>
        <v>14907</v>
      </c>
      <c r="K37" s="21"/>
      <c r="L37" s="117"/>
      <c r="M37" s="120"/>
      <c r="N37" s="120"/>
      <c r="O37" s="20"/>
      <c r="P37" s="20"/>
      <c r="Q37" s="19">
        <f t="shared" si="0"/>
        <v>74532</v>
      </c>
      <c r="R37" s="22"/>
      <c r="S37" s="1"/>
    </row>
    <row r="38" spans="1:19" ht="12.75">
      <c r="A38" s="17"/>
      <c r="B38" s="17"/>
      <c r="C38" s="18"/>
      <c r="D38" s="18"/>
      <c r="E38" s="20"/>
      <c r="F38" s="20"/>
      <c r="G38" s="20"/>
      <c r="H38" s="20"/>
      <c r="I38" s="20"/>
      <c r="J38" s="20"/>
      <c r="K38" s="21"/>
      <c r="L38" s="117"/>
      <c r="M38" s="120"/>
      <c r="N38" s="120"/>
      <c r="O38" s="20"/>
      <c r="P38" s="20"/>
      <c r="Q38" s="19"/>
      <c r="R38" s="22"/>
      <c r="S38" s="1"/>
    </row>
    <row r="39" spans="1:19" ht="12.75">
      <c r="A39" s="17"/>
      <c r="B39" s="17"/>
      <c r="C39" s="18"/>
      <c r="D39" s="18"/>
      <c r="E39" s="20"/>
      <c r="F39" s="20"/>
      <c r="G39" s="20"/>
      <c r="H39" s="20"/>
      <c r="I39" s="20"/>
      <c r="J39" s="20"/>
      <c r="K39" s="21"/>
      <c r="L39" s="117"/>
      <c r="M39" s="120"/>
      <c r="N39" s="120"/>
      <c r="O39" s="20"/>
      <c r="P39" s="20"/>
      <c r="Q39" s="19"/>
      <c r="R39" s="22"/>
      <c r="S39" s="1"/>
    </row>
    <row r="40" spans="1:19" ht="12.75">
      <c r="A40" s="25" t="s">
        <v>515</v>
      </c>
      <c r="B40" s="25" t="s">
        <v>516</v>
      </c>
      <c r="C40" s="26" t="s">
        <v>94</v>
      </c>
      <c r="D40" s="26" t="s">
        <v>95</v>
      </c>
      <c r="E40" s="27"/>
      <c r="F40" s="27"/>
      <c r="G40" s="27"/>
      <c r="H40" s="27"/>
      <c r="I40" s="27"/>
      <c r="J40" s="27"/>
      <c r="K40" s="28"/>
      <c r="L40" s="118"/>
      <c r="M40" s="121"/>
      <c r="N40" s="121"/>
      <c r="O40" s="27"/>
      <c r="P40" s="27"/>
      <c r="Q40" s="27">
        <f>SUM(E40:P40)</f>
        <v>0</v>
      </c>
      <c r="R40" s="30" t="s">
        <v>517</v>
      </c>
      <c r="S40" s="1"/>
    </row>
    <row r="41" spans="1:19" ht="22.5">
      <c r="A41" s="25" t="s">
        <v>515</v>
      </c>
      <c r="B41" s="25" t="s">
        <v>518</v>
      </c>
      <c r="C41" s="26" t="s">
        <v>94</v>
      </c>
      <c r="D41" s="26" t="s">
        <v>95</v>
      </c>
      <c r="E41" s="27"/>
      <c r="F41" s="27"/>
      <c r="G41" s="27"/>
      <c r="H41" s="27"/>
      <c r="I41" s="27"/>
      <c r="J41" s="27"/>
      <c r="K41" s="28"/>
      <c r="L41" s="118"/>
      <c r="M41" s="121"/>
      <c r="N41" s="121"/>
      <c r="O41" s="27"/>
      <c r="P41" s="27"/>
      <c r="Q41" s="27">
        <f>SUM(E41:P41)</f>
        <v>0</v>
      </c>
      <c r="R41" s="29" t="s">
        <v>519</v>
      </c>
      <c r="S41" s="1"/>
    </row>
    <row r="42" spans="1:19" ht="22.5">
      <c r="A42" s="25" t="s">
        <v>515</v>
      </c>
      <c r="B42" s="25" t="s">
        <v>520</v>
      </c>
      <c r="C42" s="26" t="s">
        <v>94</v>
      </c>
      <c r="D42" s="26" t="s">
        <v>95</v>
      </c>
      <c r="E42" s="27"/>
      <c r="F42" s="27"/>
      <c r="G42" s="27"/>
      <c r="H42" s="27"/>
      <c r="I42" s="27"/>
      <c r="J42" s="27"/>
      <c r="K42" s="28"/>
      <c r="L42" s="118"/>
      <c r="M42" s="121"/>
      <c r="N42" s="121"/>
      <c r="O42" s="27"/>
      <c r="P42" s="27"/>
      <c r="Q42" s="27">
        <f>SUM(E42:P42)</f>
        <v>0</v>
      </c>
      <c r="R42" s="29"/>
      <c r="S42" s="1"/>
    </row>
    <row r="43" spans="1:19" ht="12.75">
      <c r="A43" s="25" t="s">
        <v>521</v>
      </c>
      <c r="B43" s="101" t="s">
        <v>522</v>
      </c>
      <c r="C43" s="26" t="s">
        <v>94</v>
      </c>
      <c r="D43" s="26" t="s">
        <v>101</v>
      </c>
      <c r="E43" s="27"/>
      <c r="F43" s="27"/>
      <c r="G43" s="27"/>
      <c r="H43" s="27"/>
      <c r="I43" s="27"/>
      <c r="J43" s="27"/>
      <c r="K43" s="28"/>
      <c r="L43" s="118"/>
      <c r="M43" s="121"/>
      <c r="N43" s="121"/>
      <c r="O43" s="27"/>
      <c r="P43" s="27"/>
      <c r="Q43" s="27">
        <f>SUM(E43:P43)</f>
        <v>0</v>
      </c>
      <c r="R43" s="29" t="s">
        <v>523</v>
      </c>
      <c r="S43" s="1"/>
    </row>
    <row r="44" spans="1:19" ht="12.75">
      <c r="A44" s="25" t="s">
        <v>521</v>
      </c>
      <c r="B44" s="101" t="s">
        <v>524</v>
      </c>
      <c r="C44" s="26" t="s">
        <v>94</v>
      </c>
      <c r="D44" s="26" t="s">
        <v>95</v>
      </c>
      <c r="E44" s="27"/>
      <c r="F44" s="27"/>
      <c r="G44" s="27"/>
      <c r="H44" s="27"/>
      <c r="I44" s="27"/>
      <c r="J44" s="27"/>
      <c r="K44" s="28"/>
      <c r="L44" s="118"/>
      <c r="M44" s="121"/>
      <c r="N44" s="121"/>
      <c r="O44" s="27"/>
      <c r="P44" s="27"/>
      <c r="Q44" s="27">
        <f>SUM(E44:P44)</f>
        <v>0</v>
      </c>
      <c r="R44" s="29" t="s">
        <v>525</v>
      </c>
      <c r="S44" s="1"/>
    </row>
    <row r="45" spans="1:19" ht="12.75">
      <c r="A45" s="25" t="s">
        <v>515</v>
      </c>
      <c r="B45" s="25" t="s">
        <v>526</v>
      </c>
      <c r="C45" s="26" t="s">
        <v>94</v>
      </c>
      <c r="D45" s="26" t="s">
        <v>95</v>
      </c>
      <c r="E45" s="31"/>
      <c r="F45" s="31"/>
      <c r="G45" s="31"/>
      <c r="H45" s="31"/>
      <c r="I45" s="31"/>
      <c r="J45" s="31"/>
      <c r="K45" s="107"/>
      <c r="L45" s="119"/>
      <c r="M45" s="122"/>
      <c r="N45" s="31"/>
      <c r="O45" s="31"/>
      <c r="P45" s="31"/>
      <c r="Q45" s="31">
        <f t="shared" ref="Q45" si="1">SUM(E45:P45)</f>
        <v>0</v>
      </c>
      <c r="R45" s="30" t="s">
        <v>527</v>
      </c>
    </row>
    <row r="46" spans="1:19" ht="12.75">
      <c r="A46" s="25" t="s">
        <v>515</v>
      </c>
      <c r="B46" s="25" t="s">
        <v>528</v>
      </c>
      <c r="C46" s="26" t="s">
        <v>94</v>
      </c>
      <c r="D46" s="26" t="s">
        <v>101</v>
      </c>
      <c r="E46" s="32"/>
      <c r="F46" s="32"/>
      <c r="G46" s="27"/>
      <c r="H46" s="27"/>
      <c r="I46" s="27"/>
      <c r="J46" s="27"/>
      <c r="K46" s="28"/>
      <c r="L46" s="118"/>
      <c r="M46" s="121"/>
      <c r="N46" s="121"/>
      <c r="O46" s="27"/>
      <c r="P46" s="27"/>
      <c r="Q46" s="27">
        <f>SUM(E46:P46)</f>
        <v>0</v>
      </c>
      <c r="R46" s="29" t="s">
        <v>529</v>
      </c>
      <c r="S46" s="1"/>
    </row>
    <row r="47" spans="1:19" ht="12.75">
      <c r="A47" s="25" t="s">
        <v>515</v>
      </c>
      <c r="B47" s="25" t="s">
        <v>530</v>
      </c>
      <c r="C47" s="26" t="s">
        <v>94</v>
      </c>
      <c r="D47" s="26" t="s">
        <v>101</v>
      </c>
      <c r="E47" s="32"/>
      <c r="F47" s="32"/>
      <c r="G47" s="27"/>
      <c r="H47" s="27"/>
      <c r="I47" s="27"/>
      <c r="J47" s="27"/>
      <c r="K47" s="28"/>
      <c r="L47" s="118"/>
      <c r="M47" s="121"/>
      <c r="N47" s="121"/>
      <c r="O47" s="27"/>
      <c r="P47" s="27"/>
      <c r="Q47" s="27">
        <f>SUM(E47:P47)</f>
        <v>0</v>
      </c>
      <c r="R47" s="29" t="s">
        <v>531</v>
      </c>
      <c r="S47" s="1"/>
    </row>
    <row r="48" spans="1:19" ht="22.5">
      <c r="A48" s="25" t="s">
        <v>515</v>
      </c>
      <c r="B48" s="25" t="s">
        <v>532</v>
      </c>
      <c r="C48" s="26" t="s">
        <v>94</v>
      </c>
      <c r="D48" s="26" t="s">
        <v>95</v>
      </c>
      <c r="E48" s="27"/>
      <c r="F48" s="27"/>
      <c r="G48" s="27"/>
      <c r="H48" s="27"/>
      <c r="I48" s="32"/>
      <c r="J48" s="27"/>
      <c r="K48" s="28"/>
      <c r="L48" s="118"/>
      <c r="M48" s="121"/>
      <c r="N48" s="121"/>
      <c r="O48" s="32"/>
      <c r="P48" s="32"/>
      <c r="Q48" s="32">
        <f>SUM(E48:P48)</f>
        <v>0</v>
      </c>
      <c r="R48" s="29" t="s">
        <v>533</v>
      </c>
      <c r="S48" s="1"/>
    </row>
    <row r="49" spans="1:19" ht="33.75">
      <c r="A49" s="33" t="s">
        <v>534</v>
      </c>
      <c r="B49" s="33"/>
      <c r="C49" s="33"/>
      <c r="D49" s="33"/>
      <c r="E49" s="34">
        <f t="shared" ref="E49:Q49" si="2">SUM(E8:E48)</f>
        <v>491431</v>
      </c>
      <c r="F49" s="34">
        <f t="shared" si="2"/>
        <v>485186</v>
      </c>
      <c r="G49" s="34">
        <f t="shared" si="2"/>
        <v>460546</v>
      </c>
      <c r="H49" s="34">
        <f t="shared" si="2"/>
        <v>462799</v>
      </c>
      <c r="I49" s="34">
        <f t="shared" si="2"/>
        <v>317356</v>
      </c>
      <c r="J49" s="34">
        <f t="shared" si="2"/>
        <v>455307.38</v>
      </c>
      <c r="K49" s="34">
        <f t="shared" si="2"/>
        <v>491902</v>
      </c>
      <c r="L49" s="34">
        <f t="shared" si="2"/>
        <v>518684</v>
      </c>
      <c r="M49" s="34">
        <f t="shared" si="2"/>
        <v>630603</v>
      </c>
      <c r="N49" s="34">
        <f t="shared" si="2"/>
        <v>574869</v>
      </c>
      <c r="O49" s="34">
        <f t="shared" si="2"/>
        <v>510713.84</v>
      </c>
      <c r="P49" s="34">
        <f t="shared" si="2"/>
        <v>485741.42</v>
      </c>
      <c r="Q49" s="34">
        <f t="shared" si="2"/>
        <v>5854948.6399999997</v>
      </c>
      <c r="R49" s="34"/>
      <c r="S49" s="1"/>
    </row>
    <row r="50" spans="1:19" ht="12.75">
      <c r="A50" s="1"/>
      <c r="B50" s="1"/>
      <c r="C50" s="1"/>
      <c r="D50" s="1"/>
      <c r="E50" s="1"/>
      <c r="F50" s="1"/>
      <c r="G50" s="1"/>
      <c r="H50" s="1"/>
      <c r="I50" s="1"/>
      <c r="J50" s="1"/>
      <c r="K50" s="1"/>
      <c r="L50" s="1"/>
      <c r="M50" s="1"/>
      <c r="N50" s="1"/>
      <c r="O50" s="1"/>
      <c r="P50" s="1"/>
      <c r="Q50" s="1"/>
      <c r="R50" s="1"/>
      <c r="S50" s="1"/>
    </row>
    <row r="51" spans="1:19" ht="12.75">
      <c r="A51" s="35" t="s">
        <v>241</v>
      </c>
      <c r="B51" s="100" t="s">
        <v>535</v>
      </c>
      <c r="C51" s="36"/>
      <c r="D51" s="36"/>
      <c r="E51" s="37"/>
      <c r="F51" s="37"/>
      <c r="G51" s="38"/>
      <c r="H51" s="38"/>
      <c r="I51" s="38"/>
      <c r="J51" s="38"/>
      <c r="K51" s="39"/>
      <c r="L51" s="109"/>
      <c r="M51" s="40"/>
      <c r="N51" s="40"/>
      <c r="O51" s="38"/>
      <c r="P51" s="38"/>
      <c r="Q51" s="38"/>
      <c r="R51" s="41"/>
      <c r="S51" s="1"/>
    </row>
    <row r="52" spans="1:19" ht="12.75">
      <c r="A52" s="35" t="s">
        <v>241</v>
      </c>
      <c r="B52" s="100" t="s">
        <v>536</v>
      </c>
      <c r="C52" s="36"/>
      <c r="D52" s="36"/>
      <c r="E52" s="38"/>
      <c r="F52" s="38"/>
      <c r="G52" s="38"/>
      <c r="H52" s="38"/>
      <c r="I52" s="38"/>
      <c r="J52" s="38"/>
      <c r="K52" s="39"/>
      <c r="L52" s="113"/>
      <c r="M52" s="43"/>
      <c r="N52" s="43"/>
      <c r="O52" s="37"/>
      <c r="P52" s="37"/>
      <c r="Q52" s="37"/>
      <c r="R52" s="41"/>
      <c r="S52" s="1"/>
    </row>
    <row r="53" spans="1:19" ht="12.75">
      <c r="A53" s="35" t="s">
        <v>241</v>
      </c>
      <c r="B53" s="100" t="s">
        <v>537</v>
      </c>
      <c r="C53" s="36"/>
      <c r="D53" s="36"/>
      <c r="E53" s="38"/>
      <c r="F53" s="38"/>
      <c r="G53" s="38"/>
      <c r="H53" s="38"/>
      <c r="I53" s="38"/>
      <c r="J53" s="38"/>
      <c r="K53" s="39"/>
      <c r="L53" s="110"/>
      <c r="M53" s="43"/>
      <c r="N53" s="43"/>
      <c r="O53" s="37"/>
      <c r="P53" s="37"/>
      <c r="Q53" s="37"/>
      <c r="R53" s="41"/>
      <c r="S53" s="1"/>
    </row>
    <row r="54" spans="1:19" ht="12.75">
      <c r="A54" s="35" t="s">
        <v>241</v>
      </c>
      <c r="B54" s="100" t="s">
        <v>538</v>
      </c>
      <c r="C54" s="36"/>
      <c r="D54" s="36"/>
      <c r="E54" s="38"/>
      <c r="F54" s="38"/>
      <c r="G54" s="38"/>
      <c r="H54" s="38"/>
      <c r="I54" s="38"/>
      <c r="J54" s="38"/>
      <c r="K54" s="39"/>
      <c r="L54" s="110"/>
      <c r="M54" s="43"/>
      <c r="N54" s="43"/>
      <c r="O54" s="37"/>
      <c r="P54" s="37"/>
      <c r="Q54" s="37"/>
      <c r="R54" s="41"/>
      <c r="S54" s="1"/>
    </row>
    <row r="55" spans="1:19" ht="12.75">
      <c r="A55" s="35" t="s">
        <v>241</v>
      </c>
      <c r="B55" s="100" t="s">
        <v>539</v>
      </c>
      <c r="C55" s="36"/>
      <c r="D55" s="36"/>
      <c r="E55" s="38"/>
      <c r="F55" s="38"/>
      <c r="G55" s="38"/>
      <c r="H55" s="38"/>
      <c r="I55" s="37"/>
      <c r="J55" s="38"/>
      <c r="K55" s="39"/>
      <c r="L55" s="109"/>
      <c r="M55" s="40"/>
      <c r="N55" s="40"/>
      <c r="O55" s="37"/>
      <c r="P55" s="37"/>
      <c r="Q55" s="37"/>
      <c r="R55" s="41"/>
      <c r="S55" s="1"/>
    </row>
    <row r="56" spans="1:19" ht="12.75">
      <c r="A56" s="35" t="s">
        <v>241</v>
      </c>
      <c r="B56" s="35" t="s">
        <v>540</v>
      </c>
      <c r="C56" s="36"/>
      <c r="D56" s="36"/>
      <c r="E56" s="38"/>
      <c r="F56" s="38"/>
      <c r="G56" s="38"/>
      <c r="H56" s="38"/>
      <c r="I56" s="37"/>
      <c r="J56" s="38"/>
      <c r="K56" s="39"/>
      <c r="L56" s="109"/>
      <c r="M56" s="40"/>
      <c r="N56" s="40"/>
      <c r="O56" s="37"/>
      <c r="P56" s="37"/>
      <c r="Q56" s="37"/>
      <c r="R56" s="41"/>
      <c r="S56" s="1"/>
    </row>
    <row r="57" spans="1:19" ht="12.75">
      <c r="A57" s="36" t="s">
        <v>541</v>
      </c>
      <c r="B57" s="42"/>
      <c r="C57" s="42"/>
      <c r="D57" s="42"/>
      <c r="E57" s="44">
        <f t="shared" ref="E57:Q57" si="3">SUM(E51:E56)</f>
        <v>0</v>
      </c>
      <c r="F57" s="44">
        <f t="shared" si="3"/>
        <v>0</v>
      </c>
      <c r="G57" s="44">
        <f t="shared" si="3"/>
        <v>0</v>
      </c>
      <c r="H57" s="44">
        <f t="shared" si="3"/>
        <v>0</v>
      </c>
      <c r="I57" s="44">
        <f t="shared" si="3"/>
        <v>0</v>
      </c>
      <c r="J57" s="44">
        <f t="shared" si="3"/>
        <v>0</v>
      </c>
      <c r="K57" s="44">
        <f t="shared" si="3"/>
        <v>0</v>
      </c>
      <c r="L57" s="111">
        <f t="shared" si="3"/>
        <v>0</v>
      </c>
      <c r="M57" s="112">
        <f t="shared" si="3"/>
        <v>0</v>
      </c>
      <c r="N57" s="108">
        <f t="shared" si="3"/>
        <v>0</v>
      </c>
      <c r="O57" s="44">
        <f t="shared" si="3"/>
        <v>0</v>
      </c>
      <c r="P57" s="44">
        <f t="shared" si="3"/>
        <v>0</v>
      </c>
      <c r="Q57" s="44">
        <f t="shared" si="3"/>
        <v>0</v>
      </c>
      <c r="R57" s="42"/>
      <c r="S57" s="1"/>
    </row>
    <row r="58" spans="1:19" ht="12.75">
      <c r="A58" s="1"/>
      <c r="B58" s="1"/>
      <c r="C58" s="1"/>
      <c r="D58" s="1"/>
      <c r="E58" s="1"/>
      <c r="F58" s="1"/>
      <c r="G58" s="1"/>
      <c r="H58" s="1"/>
      <c r="I58" s="1"/>
      <c r="J58" s="1"/>
      <c r="K58" s="1"/>
      <c r="L58" s="1"/>
      <c r="M58" s="1"/>
      <c r="N58" s="1"/>
      <c r="O58" s="1"/>
      <c r="P58" s="1"/>
      <c r="Q58" s="1"/>
      <c r="R58" s="1"/>
      <c r="S58" s="1"/>
    </row>
    <row r="59" spans="1:19" ht="12.75">
      <c r="A59" s="45" t="s">
        <v>242</v>
      </c>
      <c r="B59" s="103" t="s">
        <v>542</v>
      </c>
      <c r="C59" s="46" t="s">
        <v>543</v>
      </c>
      <c r="D59" s="46"/>
      <c r="E59" s="47"/>
      <c r="F59" s="47"/>
      <c r="G59" s="47"/>
      <c r="H59" s="47"/>
      <c r="I59" s="48"/>
      <c r="J59" s="47"/>
      <c r="K59" s="49"/>
      <c r="L59" s="62"/>
      <c r="M59" s="50"/>
      <c r="N59" s="50"/>
      <c r="O59" s="48"/>
      <c r="P59" s="48"/>
      <c r="Q59" s="48">
        <f>SUM(E59:P59)</f>
        <v>0</v>
      </c>
      <c r="R59" s="51"/>
      <c r="S59" s="1"/>
    </row>
    <row r="60" spans="1:19" ht="12.75">
      <c r="A60" s="45" t="s">
        <v>242</v>
      </c>
      <c r="B60" s="103" t="s">
        <v>544</v>
      </c>
      <c r="C60" s="46" t="s">
        <v>543</v>
      </c>
      <c r="D60" s="46"/>
      <c r="E60" s="47"/>
      <c r="F60" s="47"/>
      <c r="G60" s="47"/>
      <c r="H60" s="47"/>
      <c r="I60" s="48"/>
      <c r="J60" s="47"/>
      <c r="K60" s="49"/>
      <c r="L60" s="62"/>
      <c r="M60" s="50"/>
      <c r="N60" s="50"/>
      <c r="O60" s="48"/>
      <c r="P60" s="48"/>
      <c r="Q60" s="48">
        <f>SUM(E60:P60)</f>
        <v>0</v>
      </c>
      <c r="R60" s="51"/>
      <c r="S60" s="1"/>
    </row>
    <row r="61" spans="1:19" ht="12.75">
      <c r="A61" s="45" t="s">
        <v>242</v>
      </c>
      <c r="B61" s="103" t="s">
        <v>545</v>
      </c>
      <c r="C61" s="46" t="s">
        <v>546</v>
      </c>
      <c r="D61" s="46"/>
      <c r="E61" s="47"/>
      <c r="F61" s="47"/>
      <c r="G61" s="47"/>
      <c r="H61" s="47"/>
      <c r="I61" s="48"/>
      <c r="J61" s="47"/>
      <c r="K61" s="49"/>
      <c r="L61" s="62"/>
      <c r="M61" s="50"/>
      <c r="N61" s="50"/>
      <c r="O61" s="48"/>
      <c r="P61" s="48"/>
      <c r="Q61" s="48">
        <f>SUM(E61:P61)</f>
        <v>0</v>
      </c>
      <c r="R61" s="51"/>
      <c r="S61" s="1"/>
    </row>
    <row r="62" spans="1:19" ht="12.75">
      <c r="A62" s="45" t="s">
        <v>242</v>
      </c>
      <c r="B62" s="103" t="s">
        <v>547</v>
      </c>
      <c r="C62" s="46" t="s">
        <v>94</v>
      </c>
      <c r="D62" s="46" t="s">
        <v>95</v>
      </c>
      <c r="E62" s="47"/>
      <c r="F62" s="47"/>
      <c r="G62" s="47"/>
      <c r="H62" s="47"/>
      <c r="I62" s="48"/>
      <c r="J62" s="47"/>
      <c r="K62" s="49"/>
      <c r="L62" s="62"/>
      <c r="M62" s="50"/>
      <c r="N62" s="50"/>
      <c r="O62" s="48"/>
      <c r="P62" s="48"/>
      <c r="Q62" s="48"/>
      <c r="R62" s="51"/>
      <c r="S62" s="1"/>
    </row>
    <row r="63" spans="1:19" ht="12.75">
      <c r="A63" s="52" t="s">
        <v>242</v>
      </c>
      <c r="B63" s="52" t="s">
        <v>548</v>
      </c>
      <c r="C63" s="53" t="s">
        <v>94</v>
      </c>
      <c r="D63" s="53" t="s">
        <v>101</v>
      </c>
      <c r="E63" s="54"/>
      <c r="F63" s="54"/>
      <c r="G63" s="54"/>
      <c r="H63" s="54"/>
      <c r="I63" s="55"/>
      <c r="J63" s="54"/>
      <c r="K63" s="56"/>
      <c r="L63" s="62"/>
      <c r="M63" s="57"/>
      <c r="N63" s="57"/>
      <c r="O63" s="55"/>
      <c r="P63" s="55"/>
      <c r="Q63" s="55"/>
      <c r="R63" s="58"/>
      <c r="S63" s="1"/>
    </row>
    <row r="64" spans="1:19" ht="12.75">
      <c r="A64" s="59" t="s">
        <v>242</v>
      </c>
      <c r="B64" s="104" t="s">
        <v>549</v>
      </c>
      <c r="C64" s="60" t="s">
        <v>94</v>
      </c>
      <c r="D64" s="60" t="s">
        <v>101</v>
      </c>
      <c r="E64" s="61"/>
      <c r="F64" s="61"/>
      <c r="G64" s="61"/>
      <c r="H64" s="61"/>
      <c r="I64" s="62"/>
      <c r="J64" s="61"/>
      <c r="K64" s="63"/>
      <c r="L64" s="62"/>
      <c r="M64" s="64"/>
      <c r="N64" s="64"/>
      <c r="O64" s="62"/>
      <c r="P64" s="62"/>
      <c r="Q64" s="62"/>
      <c r="R64" s="65"/>
      <c r="S64" s="1"/>
    </row>
    <row r="65" spans="1:19" ht="12.75">
      <c r="A65" s="59" t="s">
        <v>488</v>
      </c>
      <c r="B65" s="59" t="s">
        <v>160</v>
      </c>
      <c r="C65" s="60" t="s">
        <v>94</v>
      </c>
      <c r="D65" s="60" t="s">
        <v>101</v>
      </c>
      <c r="E65" s="61"/>
      <c r="F65" s="61"/>
      <c r="G65" s="61"/>
      <c r="H65" s="61"/>
      <c r="I65" s="62"/>
      <c r="J65" s="61"/>
      <c r="K65" s="63"/>
      <c r="L65" s="62"/>
      <c r="M65" s="64"/>
      <c r="N65" s="64">
        <v>6000</v>
      </c>
      <c r="O65" s="62">
        <v>6000</v>
      </c>
      <c r="P65" s="62">
        <v>6000</v>
      </c>
      <c r="Q65" s="62">
        <f>SUM(E65:P65)</f>
        <v>18000</v>
      </c>
      <c r="R65" s="65"/>
      <c r="S65" s="1"/>
    </row>
    <row r="66" spans="1:19" ht="12.75">
      <c r="A66" s="59" t="s">
        <v>488</v>
      </c>
      <c r="B66" s="59" t="s">
        <v>550</v>
      </c>
      <c r="C66" s="60" t="s">
        <v>94</v>
      </c>
      <c r="D66" s="60" t="s">
        <v>95</v>
      </c>
      <c r="E66" s="61"/>
      <c r="F66" s="61"/>
      <c r="G66" s="61"/>
      <c r="H66" s="61"/>
      <c r="I66" s="62"/>
      <c r="J66" s="61"/>
      <c r="K66" s="63"/>
      <c r="L66" s="62">
        <v>3927</v>
      </c>
      <c r="M66" s="64">
        <v>6260</v>
      </c>
      <c r="N66" s="64">
        <v>5260</v>
      </c>
      <c r="O66" s="62">
        <v>6470</v>
      </c>
      <c r="P66" s="62">
        <v>7930</v>
      </c>
      <c r="Q66" s="62">
        <f>SUM(E66:P66)</f>
        <v>29847</v>
      </c>
      <c r="R66" s="65"/>
      <c r="S66" s="1"/>
    </row>
    <row r="67" spans="1:19" ht="12.75">
      <c r="A67" s="59" t="s">
        <v>242</v>
      </c>
      <c r="B67" s="59" t="s">
        <v>278</v>
      </c>
      <c r="C67" s="60" t="s">
        <v>94</v>
      </c>
      <c r="D67" s="60" t="s">
        <v>101</v>
      </c>
      <c r="E67" s="61"/>
      <c r="F67" s="61"/>
      <c r="G67" s="61"/>
      <c r="H67" s="61"/>
      <c r="I67" s="62"/>
      <c r="J67" s="61"/>
      <c r="K67" s="63"/>
      <c r="L67" s="62"/>
      <c r="M67" s="64"/>
      <c r="N67" s="64"/>
      <c r="O67" s="62"/>
      <c r="P67" s="62"/>
      <c r="Q67" s="62"/>
      <c r="R67" s="65"/>
      <c r="S67" s="1"/>
    </row>
    <row r="68" spans="1:19" ht="12.75">
      <c r="A68" s="559" t="s">
        <v>551</v>
      </c>
      <c r="B68" s="559"/>
      <c r="C68" s="66"/>
      <c r="D68" s="66"/>
      <c r="E68" s="67">
        <f t="shared" ref="E68:Q68" si="4">SUM(E59:E67)</f>
        <v>0</v>
      </c>
      <c r="F68" s="67">
        <f t="shared" si="4"/>
        <v>0</v>
      </c>
      <c r="G68" s="67">
        <f t="shared" si="4"/>
        <v>0</v>
      </c>
      <c r="H68" s="67">
        <f t="shared" si="4"/>
        <v>0</v>
      </c>
      <c r="I68" s="67">
        <f t="shared" si="4"/>
        <v>0</v>
      </c>
      <c r="J68" s="67">
        <f t="shared" si="4"/>
        <v>0</v>
      </c>
      <c r="K68" s="68">
        <f t="shared" si="4"/>
        <v>0</v>
      </c>
      <c r="L68" s="67">
        <f t="shared" si="4"/>
        <v>3927</v>
      </c>
      <c r="M68" s="69">
        <f t="shared" si="4"/>
        <v>6260</v>
      </c>
      <c r="N68" s="67">
        <f t="shared" si="4"/>
        <v>11260</v>
      </c>
      <c r="O68" s="67">
        <f t="shared" si="4"/>
        <v>12470</v>
      </c>
      <c r="P68" s="67">
        <f t="shared" si="4"/>
        <v>13930</v>
      </c>
      <c r="Q68" s="67">
        <f t="shared" si="4"/>
        <v>47847</v>
      </c>
      <c r="R68" s="67"/>
      <c r="S68" s="1"/>
    </row>
    <row r="69" spans="1:19" ht="12.75">
      <c r="A69" s="1"/>
      <c r="B69" s="1"/>
      <c r="C69" s="1"/>
      <c r="D69" s="1"/>
      <c r="E69" s="1"/>
      <c r="F69" s="1"/>
      <c r="G69" s="1"/>
      <c r="H69" s="1"/>
      <c r="I69" s="1"/>
      <c r="J69" s="1"/>
      <c r="K69" s="1"/>
      <c r="L69" s="1"/>
      <c r="M69" s="1"/>
      <c r="N69" s="1"/>
      <c r="O69" s="1"/>
      <c r="P69" s="1"/>
      <c r="Q69" s="1"/>
      <c r="R69" s="1"/>
      <c r="S69" s="1"/>
    </row>
    <row r="70" spans="1:19" ht="12.75">
      <c r="B70" s="70" t="s">
        <v>22</v>
      </c>
      <c r="C70" s="71"/>
      <c r="D70" s="71"/>
      <c r="E70" s="72">
        <f t="shared" ref="E70:Q70" si="5">+E49</f>
        <v>491431</v>
      </c>
      <c r="F70" s="72">
        <f t="shared" si="5"/>
        <v>485186</v>
      </c>
      <c r="G70" s="72">
        <f t="shared" si="5"/>
        <v>460546</v>
      </c>
      <c r="H70" s="72">
        <f t="shared" si="5"/>
        <v>462799</v>
      </c>
      <c r="I70" s="72">
        <f t="shared" si="5"/>
        <v>317356</v>
      </c>
      <c r="J70" s="72">
        <f t="shared" si="5"/>
        <v>455307.38</v>
      </c>
      <c r="K70" s="72">
        <f t="shared" si="5"/>
        <v>491902</v>
      </c>
      <c r="L70" s="72">
        <f t="shared" si="5"/>
        <v>518684</v>
      </c>
      <c r="M70" s="72">
        <f t="shared" ref="M70:N70" si="6">+M49</f>
        <v>630603</v>
      </c>
      <c r="N70" s="72">
        <f t="shared" si="6"/>
        <v>574869</v>
      </c>
      <c r="O70" s="72">
        <f t="shared" si="5"/>
        <v>510713.84</v>
      </c>
      <c r="P70" s="72">
        <f t="shared" si="5"/>
        <v>485741.42</v>
      </c>
      <c r="Q70" s="72">
        <f t="shared" si="5"/>
        <v>5854948.6399999997</v>
      </c>
      <c r="R70" s="71"/>
      <c r="S70" s="1"/>
    </row>
    <row r="71" spans="1:19" ht="12.75">
      <c r="B71" s="70" t="s">
        <v>241</v>
      </c>
      <c r="C71" s="71"/>
      <c r="D71" s="71"/>
      <c r="E71" s="72">
        <f>+E57</f>
        <v>0</v>
      </c>
      <c r="F71" s="72">
        <f t="shared" ref="F71:Q71" si="7">+F57</f>
        <v>0</v>
      </c>
      <c r="G71" s="72">
        <f t="shared" si="7"/>
        <v>0</v>
      </c>
      <c r="H71" s="72">
        <f t="shared" si="7"/>
        <v>0</v>
      </c>
      <c r="I71" s="72">
        <f t="shared" si="7"/>
        <v>0</v>
      </c>
      <c r="J71" s="72">
        <f t="shared" si="7"/>
        <v>0</v>
      </c>
      <c r="K71" s="72">
        <f t="shared" si="7"/>
        <v>0</v>
      </c>
      <c r="L71" s="72">
        <f t="shared" si="7"/>
        <v>0</v>
      </c>
      <c r="M71" s="72">
        <f t="shared" ref="M71:N71" si="8">+M57</f>
        <v>0</v>
      </c>
      <c r="N71" s="72">
        <f t="shared" si="8"/>
        <v>0</v>
      </c>
      <c r="O71" s="72">
        <f t="shared" si="7"/>
        <v>0</v>
      </c>
      <c r="P71" s="72">
        <f t="shared" si="7"/>
        <v>0</v>
      </c>
      <c r="Q71" s="72">
        <f t="shared" si="7"/>
        <v>0</v>
      </c>
      <c r="R71" s="71"/>
      <c r="S71" s="1"/>
    </row>
    <row r="72" spans="1:19" ht="12.75">
      <c r="B72" s="70" t="s">
        <v>242</v>
      </c>
      <c r="C72" s="71"/>
      <c r="D72" s="71"/>
      <c r="E72" s="72">
        <f>+E68</f>
        <v>0</v>
      </c>
      <c r="F72" s="72">
        <f t="shared" ref="F72:Q72" si="9">+F68</f>
        <v>0</v>
      </c>
      <c r="G72" s="72">
        <f t="shared" si="9"/>
        <v>0</v>
      </c>
      <c r="H72" s="72">
        <f t="shared" si="9"/>
        <v>0</v>
      </c>
      <c r="I72" s="72">
        <f t="shared" si="9"/>
        <v>0</v>
      </c>
      <c r="J72" s="72">
        <f t="shared" si="9"/>
        <v>0</v>
      </c>
      <c r="K72" s="72">
        <f t="shared" si="9"/>
        <v>0</v>
      </c>
      <c r="L72" s="72">
        <f>+L68</f>
        <v>3927</v>
      </c>
      <c r="M72" s="72">
        <f t="shared" ref="M72:N72" si="10">+M68</f>
        <v>6260</v>
      </c>
      <c r="N72" s="72">
        <f t="shared" si="10"/>
        <v>11260</v>
      </c>
      <c r="O72" s="72">
        <f t="shared" si="9"/>
        <v>12470</v>
      </c>
      <c r="P72" s="72">
        <f t="shared" si="9"/>
        <v>13930</v>
      </c>
      <c r="Q72" s="72">
        <f t="shared" si="9"/>
        <v>47847</v>
      </c>
      <c r="R72" s="71"/>
      <c r="S72" s="1"/>
    </row>
    <row r="73" spans="1:19" ht="12.75">
      <c r="B73" s="70" t="s">
        <v>243</v>
      </c>
      <c r="C73" s="71"/>
      <c r="D73" s="71"/>
      <c r="E73" s="72">
        <f>SUM(E70:E72)</f>
        <v>491431</v>
      </c>
      <c r="F73" s="72">
        <f t="shared" ref="F73:Q73" si="11">SUM(F70:F72)</f>
        <v>485186</v>
      </c>
      <c r="G73" s="72">
        <f t="shared" si="11"/>
        <v>460546</v>
      </c>
      <c r="H73" s="72">
        <f t="shared" si="11"/>
        <v>462799</v>
      </c>
      <c r="I73" s="72">
        <f t="shared" si="11"/>
        <v>317356</v>
      </c>
      <c r="J73" s="72">
        <f t="shared" si="11"/>
        <v>455307.38</v>
      </c>
      <c r="K73" s="72">
        <f t="shared" si="11"/>
        <v>491902</v>
      </c>
      <c r="L73" s="72">
        <f t="shared" si="11"/>
        <v>522611</v>
      </c>
      <c r="M73" s="72">
        <f t="shared" si="11"/>
        <v>636863</v>
      </c>
      <c r="N73" s="72">
        <f t="shared" si="11"/>
        <v>586129</v>
      </c>
      <c r="O73" s="72">
        <f t="shared" si="11"/>
        <v>523183.84</v>
      </c>
      <c r="P73" s="72">
        <f t="shared" si="11"/>
        <v>499671.42</v>
      </c>
      <c r="Q73" s="72">
        <f t="shared" si="11"/>
        <v>5902795.6399999997</v>
      </c>
      <c r="R73" s="71"/>
      <c r="S73" s="1"/>
    </row>
    <row r="74" spans="1:19" ht="12.75"/>
    <row r="75" spans="1:19" ht="12.75">
      <c r="B75" s="79" t="s">
        <v>21</v>
      </c>
      <c r="C75" s="80"/>
      <c r="D75" s="80"/>
      <c r="E75" s="81"/>
      <c r="F75" s="81"/>
      <c r="G75" s="81"/>
      <c r="H75" s="81"/>
      <c r="I75" s="82"/>
      <c r="J75" s="81"/>
      <c r="K75" s="82"/>
      <c r="L75" s="82"/>
      <c r="M75" s="82"/>
      <c r="N75" s="82"/>
      <c r="O75" s="82"/>
      <c r="P75" s="82"/>
      <c r="Q75" s="82"/>
      <c r="R75" s="83"/>
    </row>
    <row r="76" spans="1:19" ht="12.75">
      <c r="A76" s="4" t="s">
        <v>22</v>
      </c>
      <c r="B76" s="84" t="s">
        <v>434</v>
      </c>
      <c r="C76" s="85" t="s">
        <v>54</v>
      </c>
      <c r="D76" s="85" t="s">
        <v>21</v>
      </c>
      <c r="E76" s="86">
        <f>10215.5</f>
        <v>10215.5</v>
      </c>
      <c r="F76" s="86">
        <f>10576</f>
        <v>10576</v>
      </c>
      <c r="G76" s="86">
        <f>10654</f>
        <v>10654</v>
      </c>
      <c r="H76" s="86">
        <f>11498</f>
        <v>11498</v>
      </c>
      <c r="I76" s="86">
        <f>10600</f>
        <v>10600</v>
      </c>
      <c r="J76" s="86">
        <f>9502</f>
        <v>9502</v>
      </c>
      <c r="K76" s="86">
        <v>10960</v>
      </c>
      <c r="L76" s="87">
        <v>10572</v>
      </c>
      <c r="M76" s="87">
        <v>8776</v>
      </c>
      <c r="N76" s="87">
        <v>9734</v>
      </c>
      <c r="O76" s="87">
        <v>7156</v>
      </c>
      <c r="P76" s="87">
        <v>7261</v>
      </c>
      <c r="Q76" s="87">
        <f>SUM(E76:P76)</f>
        <v>117504.5</v>
      </c>
      <c r="R76" s="88"/>
    </row>
    <row r="77" spans="1:19" ht="12.75">
      <c r="A77" s="4" t="s">
        <v>22</v>
      </c>
      <c r="B77" s="84" t="s">
        <v>443</v>
      </c>
      <c r="C77" s="85" t="s">
        <v>54</v>
      </c>
      <c r="D77" s="85" t="s">
        <v>21</v>
      </c>
      <c r="E77" s="86">
        <f>20930</f>
        <v>20930</v>
      </c>
      <c r="F77" s="86">
        <f>20778.4</f>
        <v>20778.400000000001</v>
      </c>
      <c r="G77" s="86">
        <f>19320</f>
        <v>19320</v>
      </c>
      <c r="H77" s="86">
        <f>24323.5</f>
        <v>24323.5</v>
      </c>
      <c r="I77" s="86">
        <f>21712</f>
        <v>21712</v>
      </c>
      <c r="J77" s="86">
        <f>21119.89</f>
        <v>21119.89</v>
      </c>
      <c r="K77" s="86">
        <v>21712</v>
      </c>
      <c r="L77" s="87">
        <v>0</v>
      </c>
      <c r="M77" s="87">
        <v>0</v>
      </c>
      <c r="N77" s="87">
        <v>0</v>
      </c>
      <c r="O77" s="87">
        <v>0</v>
      </c>
      <c r="P77" s="87">
        <v>0</v>
      </c>
      <c r="Q77" s="87">
        <f>SUM(E77:P77)</f>
        <v>149895.78999999998</v>
      </c>
      <c r="R77" s="88"/>
    </row>
    <row r="78" spans="1:19" ht="12.75">
      <c r="A78" s="4" t="s">
        <v>22</v>
      </c>
      <c r="B78" s="90" t="s">
        <v>552</v>
      </c>
      <c r="C78" s="91" t="s">
        <v>413</v>
      </c>
      <c r="D78" s="91" t="s">
        <v>21</v>
      </c>
      <c r="E78" s="92">
        <v>165961.35999999999</v>
      </c>
      <c r="F78" s="92">
        <v>159336.44</v>
      </c>
      <c r="G78" s="92">
        <v>159341.96</v>
      </c>
      <c r="H78" s="92">
        <v>172073.44</v>
      </c>
      <c r="I78" s="92">
        <v>170155.6</v>
      </c>
      <c r="J78" s="92">
        <v>143954.96</v>
      </c>
      <c r="K78" s="92">
        <v>165136.79</v>
      </c>
      <c r="L78" s="92">
        <v>152318.39999999999</v>
      </c>
      <c r="M78" s="92">
        <v>145485.79999999999</v>
      </c>
      <c r="N78" s="92">
        <v>159707.07999999999</v>
      </c>
      <c r="O78" s="92">
        <v>121577.95999999999</v>
      </c>
      <c r="P78" s="92">
        <v>106520.69</v>
      </c>
      <c r="Q78" s="92">
        <f t="shared" ref="Q78:Q88" si="12">SUM(E78:P78)</f>
        <v>1821570.4799999997</v>
      </c>
      <c r="R78" s="93"/>
    </row>
    <row r="79" spans="1:19" ht="12.75">
      <c r="A79" s="4" t="s">
        <v>22</v>
      </c>
      <c r="B79" s="84" t="s">
        <v>553</v>
      </c>
      <c r="C79" s="85" t="s">
        <v>54</v>
      </c>
      <c r="D79" s="85" t="s">
        <v>21</v>
      </c>
      <c r="E79" s="86">
        <f>20071.08</f>
        <v>20071.080000000002</v>
      </c>
      <c r="F79" s="86">
        <f>5227.32</f>
        <v>5227.32</v>
      </c>
      <c r="G79" s="86">
        <v>0</v>
      </c>
      <c r="H79" s="86">
        <v>0</v>
      </c>
      <c r="I79" s="86">
        <v>0</v>
      </c>
      <c r="J79" s="86">
        <v>0</v>
      </c>
      <c r="K79" s="86">
        <v>0</v>
      </c>
      <c r="L79" s="87">
        <v>0</v>
      </c>
      <c r="M79" s="87">
        <v>0</v>
      </c>
      <c r="N79" s="87">
        <v>0</v>
      </c>
      <c r="O79" s="87">
        <v>0</v>
      </c>
      <c r="P79" s="87"/>
      <c r="Q79" s="87">
        <f t="shared" si="12"/>
        <v>25298.400000000001</v>
      </c>
      <c r="R79" s="88"/>
    </row>
    <row r="80" spans="1:19" ht="12.75">
      <c r="A80" s="4" t="s">
        <v>22</v>
      </c>
      <c r="B80" s="84" t="s">
        <v>444</v>
      </c>
      <c r="C80" s="85" t="s">
        <v>54</v>
      </c>
      <c r="D80" s="85" t="s">
        <v>21</v>
      </c>
      <c r="E80" s="86">
        <f>9600</f>
        <v>9600</v>
      </c>
      <c r="F80" s="86">
        <f>9600</f>
        <v>9600</v>
      </c>
      <c r="G80" s="86">
        <f>9900</f>
        <v>9900</v>
      </c>
      <c r="H80" s="86">
        <f>10740</f>
        <v>10740</v>
      </c>
      <c r="I80" s="86">
        <f>10560</f>
        <v>10560</v>
      </c>
      <c r="J80" s="86">
        <f>9600</f>
        <v>9600</v>
      </c>
      <c r="K80" s="86">
        <v>9600</v>
      </c>
      <c r="L80" s="87">
        <v>10560</v>
      </c>
      <c r="M80" s="87">
        <v>4320</v>
      </c>
      <c r="N80" s="87">
        <v>0</v>
      </c>
      <c r="O80" s="87">
        <v>0</v>
      </c>
      <c r="P80" s="87">
        <v>0</v>
      </c>
      <c r="Q80" s="87">
        <f t="shared" si="12"/>
        <v>84480</v>
      </c>
      <c r="R80" s="88"/>
    </row>
    <row r="81" spans="1:18" ht="12.75">
      <c r="A81" s="4" t="s">
        <v>22</v>
      </c>
      <c r="B81" s="90" t="s">
        <v>438</v>
      </c>
      <c r="C81" s="91" t="s">
        <v>54</v>
      </c>
      <c r="D81" s="91" t="s">
        <v>21</v>
      </c>
      <c r="E81" s="92">
        <v>8676</v>
      </c>
      <c r="F81" s="92">
        <v>8252</v>
      </c>
      <c r="G81" s="92">
        <v>10758</v>
      </c>
      <c r="H81" s="92">
        <v>8021</v>
      </c>
      <c r="I81" s="92">
        <v>7438.5</v>
      </c>
      <c r="J81" s="92">
        <v>7736</v>
      </c>
      <c r="K81" s="92">
        <v>12692</v>
      </c>
      <c r="L81" s="94">
        <v>10937</v>
      </c>
      <c r="M81" s="94">
        <v>8561</v>
      </c>
      <c r="N81" s="94">
        <v>6042</v>
      </c>
      <c r="O81" s="94">
        <v>5120</v>
      </c>
      <c r="P81" s="94">
        <v>4887</v>
      </c>
      <c r="Q81" s="94">
        <f t="shared" si="12"/>
        <v>99120.5</v>
      </c>
      <c r="R81" s="93"/>
    </row>
    <row r="82" spans="1:18" ht="12.75">
      <c r="A82" s="4" t="s">
        <v>22</v>
      </c>
      <c r="B82" s="84" t="s">
        <v>437</v>
      </c>
      <c r="C82" s="85" t="s">
        <v>54</v>
      </c>
      <c r="D82" s="85" t="s">
        <v>21</v>
      </c>
      <c r="E82" s="86">
        <v>0</v>
      </c>
      <c r="F82" s="86">
        <v>0</v>
      </c>
      <c r="G82" s="86">
        <v>0</v>
      </c>
      <c r="H82" s="86">
        <v>0</v>
      </c>
      <c r="I82" s="86">
        <v>0</v>
      </c>
      <c r="J82" s="86">
        <v>0</v>
      </c>
      <c r="K82" s="86">
        <v>0</v>
      </c>
      <c r="L82" s="87">
        <v>0</v>
      </c>
      <c r="M82" s="87">
        <v>0</v>
      </c>
      <c r="N82" s="87">
        <v>14535</v>
      </c>
      <c r="O82" s="87">
        <v>10800</v>
      </c>
      <c r="P82" s="87">
        <v>14280</v>
      </c>
      <c r="Q82" s="87">
        <v>14960</v>
      </c>
      <c r="R82" s="88"/>
    </row>
    <row r="83" spans="1:18" ht="12.75">
      <c r="A83" s="4" t="s">
        <v>22</v>
      </c>
      <c r="B83" s="84" t="s">
        <v>435</v>
      </c>
      <c r="C83" s="85" t="s">
        <v>54</v>
      </c>
      <c r="D83" s="85" t="s">
        <v>21</v>
      </c>
      <c r="E83" s="86">
        <f>127788</f>
        <v>127788</v>
      </c>
      <c r="F83" s="86">
        <f>125532</f>
        <v>125532</v>
      </c>
      <c r="G83" s="86">
        <f>62544</f>
        <v>62544</v>
      </c>
      <c r="H83" s="86">
        <f>39232</f>
        <v>39232</v>
      </c>
      <c r="I83" s="86">
        <f>30688</f>
        <v>30688</v>
      </c>
      <c r="J83" s="86">
        <f>27664</f>
        <v>27664</v>
      </c>
      <c r="K83" s="86">
        <v>40640</v>
      </c>
      <c r="L83" s="87">
        <v>47008</v>
      </c>
      <c r="M83" s="87">
        <v>54368</v>
      </c>
      <c r="N83" s="87">
        <v>69968</v>
      </c>
      <c r="O83" s="87">
        <v>52816</v>
      </c>
      <c r="P83" s="87">
        <v>55352</v>
      </c>
      <c r="Q83" s="87">
        <f t="shared" si="12"/>
        <v>733600</v>
      </c>
      <c r="R83" s="88"/>
    </row>
    <row r="84" spans="1:18" ht="12.75">
      <c r="A84" s="4" t="s">
        <v>22</v>
      </c>
      <c r="B84" s="84" t="s">
        <v>441</v>
      </c>
      <c r="C84" s="85" t="s">
        <v>54</v>
      </c>
      <c r="D84" s="85" t="s">
        <v>21</v>
      </c>
      <c r="E84" s="86">
        <f>360</f>
        <v>360</v>
      </c>
      <c r="F84" s="86">
        <f>400</f>
        <v>400</v>
      </c>
      <c r="G84" s="86">
        <f>600</f>
        <v>600</v>
      </c>
      <c r="H84" s="86">
        <f>400</f>
        <v>400</v>
      </c>
      <c r="I84" s="86">
        <f>380</f>
        <v>380</v>
      </c>
      <c r="J84" s="86">
        <v>0</v>
      </c>
      <c r="K84" s="86">
        <v>0</v>
      </c>
      <c r="L84" s="87">
        <v>0</v>
      </c>
      <c r="M84" s="87">
        <v>0</v>
      </c>
      <c r="N84" s="87">
        <v>0</v>
      </c>
      <c r="O84" s="87">
        <v>0</v>
      </c>
      <c r="P84" s="87"/>
      <c r="Q84" s="87">
        <f t="shared" si="12"/>
        <v>2140</v>
      </c>
      <c r="R84" s="88"/>
    </row>
    <row r="85" spans="1:18" ht="12.75">
      <c r="A85" s="4" t="s">
        <v>22</v>
      </c>
      <c r="B85" s="84" t="s">
        <v>442</v>
      </c>
      <c r="C85" s="85" t="s">
        <v>54</v>
      </c>
      <c r="D85" s="85" t="s">
        <v>21</v>
      </c>
      <c r="E85" s="86">
        <v>0</v>
      </c>
      <c r="F85" s="86">
        <v>0</v>
      </c>
      <c r="G85" s="86">
        <f>285</f>
        <v>285</v>
      </c>
      <c r="H85" s="86">
        <f>32.5</f>
        <v>32.5</v>
      </c>
      <c r="I85" s="86">
        <v>0</v>
      </c>
      <c r="J85" s="86">
        <v>0</v>
      </c>
      <c r="K85" s="86">
        <v>0</v>
      </c>
      <c r="L85" s="87">
        <v>0</v>
      </c>
      <c r="M85" s="87">
        <v>0</v>
      </c>
      <c r="N85" s="87">
        <v>0</v>
      </c>
      <c r="O85" s="87">
        <v>0</v>
      </c>
      <c r="P85" s="87"/>
      <c r="Q85" s="87">
        <f t="shared" si="12"/>
        <v>317.5</v>
      </c>
      <c r="R85" s="88"/>
    </row>
    <row r="86" spans="1:18" ht="12.75">
      <c r="A86" s="4" t="s">
        <v>22</v>
      </c>
      <c r="B86" s="84" t="s">
        <v>439</v>
      </c>
      <c r="C86" s="85" t="s">
        <v>54</v>
      </c>
      <c r="D86" s="85" t="s">
        <v>21</v>
      </c>
      <c r="E86" s="86">
        <f>48216</f>
        <v>48216</v>
      </c>
      <c r="F86" s="86">
        <f>54056</f>
        <v>54056</v>
      </c>
      <c r="G86" s="86">
        <f>58688</f>
        <v>58688</v>
      </c>
      <c r="H86" s="86">
        <f>73128</f>
        <v>73128</v>
      </c>
      <c r="I86" s="86">
        <f>67856</f>
        <v>67856</v>
      </c>
      <c r="J86" s="86">
        <f>52272</f>
        <v>52272</v>
      </c>
      <c r="K86" s="86">
        <v>55680</v>
      </c>
      <c r="L86" s="87">
        <v>44984</v>
      </c>
      <c r="M86" s="87">
        <v>44984</v>
      </c>
      <c r="N86" s="87">
        <v>45104</v>
      </c>
      <c r="O86" s="87">
        <v>30936</v>
      </c>
      <c r="P86" s="87">
        <v>31536</v>
      </c>
      <c r="Q86" s="87">
        <f t="shared" si="12"/>
        <v>607440</v>
      </c>
      <c r="R86" s="88"/>
    </row>
    <row r="87" spans="1:18" ht="12.75">
      <c r="A87" s="4" t="s">
        <v>22</v>
      </c>
      <c r="B87" s="84" t="s">
        <v>67</v>
      </c>
      <c r="C87" s="85" t="s">
        <v>54</v>
      </c>
      <c r="D87" s="85" t="s">
        <v>21</v>
      </c>
      <c r="E87" s="86">
        <f>60420</f>
        <v>60420</v>
      </c>
      <c r="F87" s="86">
        <f>34025.8</f>
        <v>34025.800000000003</v>
      </c>
      <c r="G87" s="86">
        <f>53619.33</f>
        <v>53619.33</v>
      </c>
      <c r="H87" s="86">
        <f>55060</f>
        <v>55060</v>
      </c>
      <c r="I87" s="86">
        <f>56180</f>
        <v>56180</v>
      </c>
      <c r="J87" s="86">
        <f>51540</f>
        <v>51540</v>
      </c>
      <c r="K87" s="86">
        <v>50240</v>
      </c>
      <c r="L87" s="87">
        <v>54210</v>
      </c>
      <c r="M87" s="87">
        <v>52950</v>
      </c>
      <c r="N87" s="87">
        <v>63864.99</v>
      </c>
      <c r="O87" s="87">
        <v>49300</v>
      </c>
      <c r="P87" s="87">
        <v>49180</v>
      </c>
      <c r="Q87" s="87">
        <f t="shared" si="12"/>
        <v>630590.12</v>
      </c>
      <c r="R87" s="88"/>
    </row>
    <row r="88" spans="1:18" ht="12.75">
      <c r="A88" s="4" t="s">
        <v>22</v>
      </c>
      <c r="B88" s="84" t="s">
        <v>440</v>
      </c>
      <c r="C88" s="85" t="s">
        <v>54</v>
      </c>
      <c r="D88" s="85" t="s">
        <v>21</v>
      </c>
      <c r="E88" s="86">
        <f>8160</f>
        <v>8160</v>
      </c>
      <c r="F88" s="86">
        <f>9600</f>
        <v>9600</v>
      </c>
      <c r="G88" s="86">
        <f>10080</f>
        <v>10080</v>
      </c>
      <c r="H88" s="86">
        <f>10560</f>
        <v>10560</v>
      </c>
      <c r="I88" s="86">
        <f>10560</f>
        <v>10560</v>
      </c>
      <c r="J88" s="86">
        <f>8640</f>
        <v>8640</v>
      </c>
      <c r="K88" s="86">
        <v>9600</v>
      </c>
      <c r="L88" s="87">
        <v>8160</v>
      </c>
      <c r="M88" s="87">
        <v>7680</v>
      </c>
      <c r="N88" s="87">
        <v>11040</v>
      </c>
      <c r="O88" s="87">
        <v>9120</v>
      </c>
      <c r="P88" s="87">
        <v>10080</v>
      </c>
      <c r="Q88" s="87">
        <f t="shared" si="12"/>
        <v>113280</v>
      </c>
      <c r="R88" s="88"/>
    </row>
    <row r="89" spans="1:18" ht="12.75">
      <c r="A89" s="73"/>
      <c r="B89" s="74" t="s">
        <v>554</v>
      </c>
      <c r="C89" s="74"/>
      <c r="D89" s="74"/>
      <c r="E89" s="95">
        <f>SUM(E76:E88)</f>
        <v>480397.94</v>
      </c>
      <c r="F89" s="95">
        <f t="shared" ref="F89:Q89" si="13">SUM(F76:F88)</f>
        <v>437383.96</v>
      </c>
      <c r="G89" s="95">
        <f t="shared" si="13"/>
        <v>395790.29</v>
      </c>
      <c r="H89" s="95">
        <f t="shared" si="13"/>
        <v>405068.44</v>
      </c>
      <c r="I89" s="95">
        <f t="shared" si="13"/>
        <v>386130.1</v>
      </c>
      <c r="J89" s="95">
        <f t="shared" si="13"/>
        <v>332028.84999999998</v>
      </c>
      <c r="K89" s="95">
        <f t="shared" si="13"/>
        <v>376260.79000000004</v>
      </c>
      <c r="L89" s="95">
        <f t="shared" si="13"/>
        <v>338749.4</v>
      </c>
      <c r="M89" s="95">
        <f t="shared" si="13"/>
        <v>327124.8</v>
      </c>
      <c r="N89" s="95">
        <f t="shared" si="13"/>
        <v>379995.06999999995</v>
      </c>
      <c r="O89" s="95">
        <f t="shared" si="13"/>
        <v>286825.95999999996</v>
      </c>
      <c r="P89" s="95">
        <f t="shared" si="13"/>
        <v>279096.69</v>
      </c>
      <c r="Q89" s="95">
        <f t="shared" si="13"/>
        <v>4400197.29</v>
      </c>
      <c r="R89" s="96"/>
    </row>
    <row r="90" spans="1:18" ht="12.75">
      <c r="B90" s="97"/>
      <c r="C90" s="97"/>
      <c r="D90" s="97"/>
      <c r="E90" s="98"/>
      <c r="F90" s="98"/>
      <c r="G90" s="98"/>
      <c r="H90" s="98"/>
      <c r="I90" s="78"/>
      <c r="J90" s="98"/>
      <c r="K90" s="78"/>
      <c r="L90" s="78"/>
      <c r="M90" s="78"/>
      <c r="N90" s="78"/>
      <c r="O90" s="78"/>
      <c r="P90" s="78"/>
      <c r="Q90" s="78"/>
      <c r="R90" s="77"/>
    </row>
    <row r="91" spans="1:18" ht="22.5">
      <c r="A91" s="73"/>
      <c r="B91" s="99" t="s">
        <v>253</v>
      </c>
      <c r="C91" s="99"/>
      <c r="D91" s="99"/>
      <c r="E91" s="75">
        <f t="shared" ref="E91:Q91" si="14">+E89+E73</f>
        <v>971828.94</v>
      </c>
      <c r="F91" s="75">
        <f t="shared" si="14"/>
        <v>922569.96</v>
      </c>
      <c r="G91" s="75">
        <f t="shared" si="14"/>
        <v>856336.29</v>
      </c>
      <c r="H91" s="75">
        <f t="shared" si="14"/>
        <v>867867.44</v>
      </c>
      <c r="I91" s="75">
        <f t="shared" si="14"/>
        <v>703486.1</v>
      </c>
      <c r="J91" s="75">
        <f t="shared" si="14"/>
        <v>787336.23</v>
      </c>
      <c r="K91" s="75">
        <f t="shared" si="14"/>
        <v>868162.79</v>
      </c>
      <c r="L91" s="75">
        <f t="shared" si="14"/>
        <v>861360.4</v>
      </c>
      <c r="M91" s="75">
        <f t="shared" si="14"/>
        <v>963987.8</v>
      </c>
      <c r="N91" s="75">
        <f t="shared" si="14"/>
        <v>966124.07</v>
      </c>
      <c r="O91" s="75">
        <f t="shared" si="14"/>
        <v>810009.8</v>
      </c>
      <c r="P91" s="75">
        <f t="shared" si="14"/>
        <v>778768.11</v>
      </c>
      <c r="Q91" s="75">
        <f t="shared" si="14"/>
        <v>10302992.93</v>
      </c>
      <c r="R91" s="76"/>
    </row>
    <row r="92" spans="1:18" ht="12.75">
      <c r="E92" s="89"/>
      <c r="F92" s="89"/>
      <c r="G92" s="89"/>
      <c r="H92" s="89"/>
      <c r="I92" s="89"/>
      <c r="J92" s="89"/>
      <c r="K92" s="89"/>
      <c r="L92" s="89"/>
      <c r="M92" s="89"/>
      <c r="N92" s="89"/>
      <c r="O92" s="89"/>
      <c r="P92" s="89"/>
      <c r="Q92" s="89"/>
      <c r="R92" s="89"/>
    </row>
  </sheetData>
  <autoFilter ref="A6:S37" xr:uid="{B423A68F-40CE-4F5A-A28A-EC005A2F6AB7}">
    <filterColumn colId="1">
      <filters>
        <filter val="Hewlett Packard Enterprise Company (India Staff Augmentation)"/>
      </filters>
    </filterColumn>
  </autoFilter>
  <sortState xmlns:xlrd2="http://schemas.microsoft.com/office/spreadsheetml/2017/richdata2" ref="A8:R61">
    <sortCondition ref="A8:A61"/>
  </sortState>
  <mergeCells count="4">
    <mergeCell ref="B1:K1"/>
    <mergeCell ref="A68:B68"/>
    <mergeCell ref="B2:K2"/>
    <mergeCell ref="B3:K3"/>
  </mergeCells>
  <phoneticPr fontId="3"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D425-8108-49AC-8F95-85AA5329D969}">
  <sheetPr>
    <tabColor theme="9" tint="-0.249977111117893"/>
  </sheetPr>
  <dimension ref="A1:E11"/>
  <sheetViews>
    <sheetView workbookViewId="0">
      <selection activeCell="F1" sqref="F1"/>
    </sheetView>
  </sheetViews>
  <sheetFormatPr defaultRowHeight="12.75"/>
  <cols>
    <col min="1" max="1" width="19.85546875" style="414" bestFit="1" customWidth="1"/>
    <col min="2" max="2" width="54" style="414" customWidth="1"/>
    <col min="3" max="3" width="25.28515625" style="156" customWidth="1"/>
    <col min="4" max="4" width="43.5703125" style="394" customWidth="1"/>
    <col min="5" max="5" width="33.7109375" style="405" customWidth="1"/>
  </cols>
  <sheetData>
    <row r="1" spans="1:5" ht="13.5">
      <c r="A1" s="412" t="s">
        <v>555</v>
      </c>
      <c r="B1" s="412" t="s">
        <v>479</v>
      </c>
      <c r="C1" s="409" t="s">
        <v>556</v>
      </c>
      <c r="D1" s="410" t="s">
        <v>557</v>
      </c>
      <c r="E1" s="411" t="s">
        <v>558</v>
      </c>
    </row>
    <row r="2" spans="1:5" ht="13.5">
      <c r="A2" s="413" t="s">
        <v>102</v>
      </c>
      <c r="B2" s="413" t="s">
        <v>559</v>
      </c>
      <c r="C2" s="400" t="s">
        <v>560</v>
      </c>
      <c r="D2" s="406"/>
      <c r="E2" s="402"/>
    </row>
    <row r="3" spans="1:5" ht="118.5">
      <c r="A3" s="413" t="s">
        <v>52</v>
      </c>
      <c r="B3" s="413" t="s">
        <v>561</v>
      </c>
      <c r="C3" s="400" t="s">
        <v>562</v>
      </c>
      <c r="D3" s="407" t="s">
        <v>563</v>
      </c>
      <c r="E3" s="403" t="s">
        <v>564</v>
      </c>
    </row>
    <row r="4" spans="1:5" ht="118.5">
      <c r="A4" s="413" t="s">
        <v>124</v>
      </c>
      <c r="B4" s="413" t="s">
        <v>565</v>
      </c>
      <c r="C4" s="401" t="s">
        <v>566</v>
      </c>
      <c r="D4" s="406" t="s">
        <v>567</v>
      </c>
      <c r="E4" s="403" t="s">
        <v>568</v>
      </c>
    </row>
    <row r="5" spans="1:5" ht="13.5">
      <c r="A5" s="413" t="s">
        <v>569</v>
      </c>
      <c r="B5" s="413" t="s">
        <v>570</v>
      </c>
      <c r="C5" s="400" t="s">
        <v>571</v>
      </c>
      <c r="D5" s="408"/>
      <c r="E5" s="404"/>
    </row>
    <row r="6" spans="1:5" ht="13.5">
      <c r="A6" s="413" t="s">
        <v>167</v>
      </c>
      <c r="B6" s="413" t="s">
        <v>572</v>
      </c>
      <c r="C6" s="400" t="s">
        <v>573</v>
      </c>
      <c r="D6" s="406"/>
      <c r="E6" s="402"/>
    </row>
    <row r="7" spans="1:5" ht="38.25">
      <c r="A7" s="413" t="s">
        <v>574</v>
      </c>
      <c r="B7" s="413" t="s">
        <v>575</v>
      </c>
      <c r="C7" s="400" t="s">
        <v>576</v>
      </c>
      <c r="D7" s="406"/>
      <c r="E7" s="402"/>
    </row>
    <row r="8" spans="1:5" ht="96">
      <c r="A8" s="413" t="s">
        <v>176</v>
      </c>
      <c r="B8" s="413" t="s">
        <v>577</v>
      </c>
      <c r="C8" s="400" t="s">
        <v>562</v>
      </c>
      <c r="D8" s="406" t="s">
        <v>578</v>
      </c>
      <c r="E8" s="402" t="s">
        <v>579</v>
      </c>
    </row>
    <row r="9" spans="1:5">
      <c r="A9" s="414" t="s">
        <v>131</v>
      </c>
    </row>
    <row r="10" spans="1:5">
      <c r="A10" s="414" t="s">
        <v>32</v>
      </c>
    </row>
    <row r="11" spans="1:5">
      <c r="A11" s="414" t="s">
        <v>580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A058-FAA6-4221-A1A1-E73B61A1FE3A}">
  <sheetPr codeName="Sheet6"/>
  <dimension ref="A1:B40"/>
  <sheetViews>
    <sheetView workbookViewId="0">
      <selection activeCell="D8" sqref="D8"/>
    </sheetView>
  </sheetViews>
  <sheetFormatPr defaultRowHeight="15" customHeight="1"/>
  <cols>
    <col min="1" max="1" width="51.5703125" style="4" customWidth="1"/>
    <col min="2" max="2" width="11" style="4" customWidth="1"/>
  </cols>
  <sheetData>
    <row r="1" spans="1:2" ht="12.75">
      <c r="A1" s="5"/>
      <c r="B1" s="124"/>
    </row>
    <row r="2" spans="1:2" ht="12.75">
      <c r="A2" s="123"/>
      <c r="B2" s="106"/>
    </row>
    <row r="3" spans="1:2" ht="12.75">
      <c r="A3" s="123"/>
      <c r="B3" s="155"/>
    </row>
    <row r="4" spans="1:2" ht="12.75">
      <c r="A4" s="123"/>
      <c r="B4" s="106"/>
    </row>
    <row r="5" spans="1:2" ht="12.75">
      <c r="A5" s="123"/>
      <c r="B5" s="105"/>
    </row>
    <row r="6" spans="1:2" ht="12.75">
      <c r="A6" s="123"/>
      <c r="B6" s="106"/>
    </row>
    <row r="7" spans="1:2" ht="12.75">
      <c r="A7" s="123"/>
      <c r="B7" s="106"/>
    </row>
    <row r="8" spans="1:2" ht="12.75">
      <c r="A8" s="123"/>
      <c r="B8" s="106"/>
    </row>
    <row r="9" spans="1:2" ht="12.75">
      <c r="A9" s="123"/>
      <c r="B9" s="105"/>
    </row>
    <row r="10" spans="1:2" ht="12.75">
      <c r="A10" s="123"/>
      <c r="B10" s="106"/>
    </row>
    <row r="11" spans="1:2" ht="12.75">
      <c r="A11" s="123"/>
      <c r="B11" s="106"/>
    </row>
    <row r="12" spans="1:2" ht="12.75">
      <c r="A12" s="123"/>
      <c r="B12" s="106"/>
    </row>
    <row r="13" spans="1:2" ht="12.75">
      <c r="A13" s="123"/>
      <c r="B13" s="106"/>
    </row>
    <row r="14" spans="1:2" ht="12.75">
      <c r="A14" s="123"/>
      <c r="B14" s="106"/>
    </row>
    <row r="15" spans="1:2" ht="12.75">
      <c r="A15" s="123"/>
      <c r="B15" s="106"/>
    </row>
    <row r="16" spans="1:2" ht="12.75">
      <c r="A16" s="123"/>
      <c r="B16" s="31"/>
    </row>
    <row r="17" spans="1:2" ht="12.75">
      <c r="A17" s="123"/>
      <c r="B17" s="106"/>
    </row>
    <row r="18" spans="1:2" ht="12.75">
      <c r="A18" s="123"/>
      <c r="B18" s="106"/>
    </row>
    <row r="19" spans="1:2" ht="12.75">
      <c r="A19" s="123"/>
      <c r="B19" s="106"/>
    </row>
    <row r="20" spans="1:2" ht="12.75">
      <c r="A20" s="123"/>
      <c r="B20" s="106"/>
    </row>
    <row r="21" spans="1:2" ht="12.75">
      <c r="A21" s="123"/>
      <c r="B21" s="106"/>
    </row>
    <row r="22" spans="1:2" ht="12.75">
      <c r="A22" s="123"/>
      <c r="B22" s="106"/>
    </row>
    <row r="23" spans="1:2" ht="12.75">
      <c r="A23" s="123"/>
      <c r="B23" s="106"/>
    </row>
    <row r="24" spans="1:2" ht="12.75">
      <c r="A24" s="123"/>
      <c r="B24" s="106"/>
    </row>
    <row r="25" spans="1:2" ht="12.75">
      <c r="A25" s="123"/>
      <c r="B25" s="106"/>
    </row>
    <row r="26" spans="1:2" ht="12.75">
      <c r="A26" s="123"/>
      <c r="B26" s="106"/>
    </row>
    <row r="27" spans="1:2" ht="12.75">
      <c r="A27" s="123"/>
      <c r="B27" s="106"/>
    </row>
    <row r="28" spans="1:2" ht="12.75">
      <c r="A28" s="123"/>
      <c r="B28" s="105"/>
    </row>
    <row r="29" spans="1:2" ht="12.75">
      <c r="A29" s="123"/>
      <c r="B29" s="105"/>
    </row>
    <row r="30" spans="1:2" ht="12.75">
      <c r="A30" s="123"/>
      <c r="B30" s="106"/>
    </row>
    <row r="31" spans="1:2" ht="12.75">
      <c r="A31" s="123"/>
      <c r="B31" s="106"/>
    </row>
    <row r="32" spans="1:2" ht="12.75">
      <c r="A32" s="123"/>
      <c r="B32" s="106"/>
    </row>
    <row r="33" spans="1:2" ht="12.75">
      <c r="A33" s="123"/>
      <c r="B33" s="31"/>
    </row>
    <row r="34" spans="1:2" ht="12.75">
      <c r="A34" s="123"/>
      <c r="B34" s="106"/>
    </row>
    <row r="35" spans="1:2" ht="12.75">
      <c r="A35" s="123"/>
      <c r="B35" s="106"/>
    </row>
    <row r="36" spans="1:2" ht="12.75">
      <c r="A36" s="123"/>
      <c r="B36" s="106"/>
    </row>
    <row r="37" spans="1:2" ht="12.75">
      <c r="A37" s="123"/>
      <c r="B37" s="106"/>
    </row>
    <row r="38" spans="1:2" ht="12.75">
      <c r="A38" s="127"/>
      <c r="B38" s="159"/>
    </row>
    <row r="39" spans="1:2" ht="12.75"/>
    <row r="40" spans="1:2" ht="12.7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550D-1FDD-43D1-89D2-3FC0CD3C2A0E}">
  <sheetPr codeName="Sheet7"/>
  <dimension ref="A1:F47"/>
  <sheetViews>
    <sheetView workbookViewId="0">
      <selection activeCell="H8" sqref="H8"/>
    </sheetView>
  </sheetViews>
  <sheetFormatPr defaultRowHeight="12.75"/>
  <cols>
    <col min="1" max="1" width="36.7109375" customWidth="1"/>
    <col min="3" max="3" width="9.5703125" customWidth="1"/>
    <col min="4" max="4" width="13.42578125" customWidth="1"/>
    <col min="6" max="6" width="16.42578125" customWidth="1"/>
  </cols>
  <sheetData>
    <row r="1" spans="1:6">
      <c r="A1" s="148" t="s">
        <v>448</v>
      </c>
      <c r="B1" s="132" t="s">
        <v>581</v>
      </c>
      <c r="C1" s="133" t="s">
        <v>75</v>
      </c>
      <c r="D1" s="132" t="s">
        <v>582</v>
      </c>
      <c r="E1" s="134" t="s">
        <v>76</v>
      </c>
      <c r="F1" s="134" t="s">
        <v>583</v>
      </c>
    </row>
    <row r="2" spans="1:6">
      <c r="A2" s="149" t="s">
        <v>93</v>
      </c>
      <c r="B2" s="135">
        <v>10</v>
      </c>
      <c r="C2" s="136">
        <v>28150</v>
      </c>
      <c r="D2" s="137">
        <v>32922</v>
      </c>
      <c r="E2" s="139">
        <v>4772</v>
      </c>
      <c r="F2" s="139">
        <v>1394</v>
      </c>
    </row>
    <row r="3" spans="1:6">
      <c r="A3" s="149" t="s">
        <v>85</v>
      </c>
      <c r="B3" s="135">
        <v>10</v>
      </c>
      <c r="C3" s="136">
        <v>19211</v>
      </c>
      <c r="D3" s="140">
        <v>0</v>
      </c>
      <c r="E3" s="138">
        <v>0</v>
      </c>
      <c r="F3" s="138">
        <v>0</v>
      </c>
    </row>
    <row r="4" spans="1:6">
      <c r="A4" s="149" t="s">
        <v>584</v>
      </c>
      <c r="B4" s="135">
        <v>1</v>
      </c>
      <c r="C4" s="136">
        <v>2057</v>
      </c>
      <c r="D4" s="137">
        <v>4800</v>
      </c>
      <c r="E4" s="139">
        <v>2743</v>
      </c>
      <c r="F4" s="139">
        <v>2496</v>
      </c>
    </row>
    <row r="5" spans="1:6" ht="24">
      <c r="A5" s="149" t="s">
        <v>105</v>
      </c>
      <c r="B5" s="135">
        <v>1</v>
      </c>
      <c r="C5" s="136">
        <v>1555</v>
      </c>
      <c r="D5" s="137">
        <v>1999</v>
      </c>
      <c r="E5" s="139">
        <v>444</v>
      </c>
      <c r="F5" s="139">
        <v>258</v>
      </c>
    </row>
    <row r="6" spans="1:6">
      <c r="A6" s="149" t="s">
        <v>336</v>
      </c>
      <c r="B6" s="135">
        <v>1</v>
      </c>
      <c r="C6" s="136">
        <v>1818</v>
      </c>
      <c r="D6" s="137">
        <v>2100</v>
      </c>
      <c r="E6" s="139">
        <v>282</v>
      </c>
      <c r="F6" s="139">
        <v>64</v>
      </c>
    </row>
    <row r="7" spans="1:6">
      <c r="A7" s="149" t="s">
        <v>108</v>
      </c>
      <c r="B7" s="135">
        <v>1</v>
      </c>
      <c r="C7" s="136">
        <v>1882</v>
      </c>
      <c r="D7" s="141">
        <v>625</v>
      </c>
      <c r="E7" s="139">
        <v>-1257</v>
      </c>
      <c r="F7" s="139">
        <v>-1483</v>
      </c>
    </row>
    <row r="8" spans="1:6" ht="24">
      <c r="A8" s="149" t="s">
        <v>585</v>
      </c>
      <c r="B8" s="135">
        <v>1</v>
      </c>
      <c r="C8" s="136">
        <v>2834</v>
      </c>
      <c r="D8" s="137">
        <v>4500</v>
      </c>
      <c r="E8" s="139">
        <v>1666</v>
      </c>
      <c r="F8" s="139">
        <v>1326</v>
      </c>
    </row>
    <row r="9" spans="1:6">
      <c r="A9" s="149" t="s">
        <v>111</v>
      </c>
      <c r="B9" s="135">
        <v>17</v>
      </c>
      <c r="C9" s="136">
        <v>33160</v>
      </c>
      <c r="D9" s="137">
        <v>64150</v>
      </c>
      <c r="E9" s="139">
        <v>30990</v>
      </c>
      <c r="F9" s="139">
        <v>27011</v>
      </c>
    </row>
    <row r="10" spans="1:6">
      <c r="A10" s="149" t="s">
        <v>113</v>
      </c>
      <c r="B10" s="135">
        <v>2</v>
      </c>
      <c r="C10" s="136">
        <v>3366</v>
      </c>
      <c r="D10" s="137">
        <v>5000</v>
      </c>
      <c r="E10" s="139">
        <v>1634</v>
      </c>
      <c r="F10" s="139">
        <v>1230</v>
      </c>
    </row>
    <row r="11" spans="1:6">
      <c r="A11" s="149" t="s">
        <v>115</v>
      </c>
      <c r="B11" s="135">
        <v>15</v>
      </c>
      <c r="C11" s="136">
        <v>55219</v>
      </c>
      <c r="D11" s="137">
        <v>84850</v>
      </c>
      <c r="E11" s="139">
        <v>29631</v>
      </c>
      <c r="F11" s="139">
        <v>23005</v>
      </c>
    </row>
    <row r="12" spans="1:6">
      <c r="A12" s="149" t="s">
        <v>116</v>
      </c>
      <c r="B12" s="135">
        <v>2</v>
      </c>
      <c r="C12" s="136">
        <v>4240</v>
      </c>
      <c r="D12" s="137">
        <v>4500</v>
      </c>
      <c r="E12" s="139">
        <v>260</v>
      </c>
      <c r="F12" s="139">
        <v>-249</v>
      </c>
    </row>
    <row r="13" spans="1:6">
      <c r="A13" s="149" t="s">
        <v>586</v>
      </c>
      <c r="B13" s="135">
        <v>1</v>
      </c>
      <c r="C13" s="136">
        <v>1843</v>
      </c>
      <c r="D13" s="140">
        <v>0</v>
      </c>
      <c r="E13" s="138">
        <v>0</v>
      </c>
      <c r="F13" s="138">
        <v>0</v>
      </c>
    </row>
    <row r="14" spans="1:6">
      <c r="A14" s="149" t="s">
        <v>124</v>
      </c>
      <c r="B14" s="135">
        <v>6</v>
      </c>
      <c r="C14" s="136">
        <v>15910</v>
      </c>
      <c r="D14" s="137">
        <v>39000</v>
      </c>
      <c r="E14" s="139">
        <v>23090</v>
      </c>
      <c r="F14" s="139">
        <v>21181</v>
      </c>
    </row>
    <row r="15" spans="1:6">
      <c r="A15" s="149" t="s">
        <v>587</v>
      </c>
      <c r="B15" s="135">
        <v>1</v>
      </c>
      <c r="C15" s="136">
        <v>1766</v>
      </c>
      <c r="D15" s="140">
        <v>0</v>
      </c>
      <c r="E15" s="138">
        <v>0</v>
      </c>
      <c r="F15" s="138">
        <v>0</v>
      </c>
    </row>
    <row r="16" spans="1:6">
      <c r="A16" s="149" t="s">
        <v>129</v>
      </c>
      <c r="B16" s="135">
        <v>1</v>
      </c>
      <c r="C16" s="136">
        <v>2543</v>
      </c>
      <c r="D16" s="137">
        <v>4025</v>
      </c>
      <c r="E16" s="139">
        <v>1482</v>
      </c>
      <c r="F16" s="139">
        <v>1177</v>
      </c>
    </row>
    <row r="17" spans="1:6">
      <c r="A17" s="149" t="s">
        <v>588</v>
      </c>
      <c r="B17" s="135">
        <v>1</v>
      </c>
      <c r="C17" s="136">
        <v>4126</v>
      </c>
      <c r="D17" s="137">
        <v>5750</v>
      </c>
      <c r="E17" s="139">
        <v>1624</v>
      </c>
      <c r="F17" s="139">
        <v>1129</v>
      </c>
    </row>
    <row r="18" spans="1:6">
      <c r="A18" s="149" t="s">
        <v>589</v>
      </c>
      <c r="B18" s="135">
        <v>1</v>
      </c>
      <c r="C18" s="136">
        <v>2543</v>
      </c>
      <c r="D18" s="137">
        <v>5060</v>
      </c>
      <c r="E18" s="139">
        <v>2517</v>
      </c>
      <c r="F18" s="139">
        <v>2212</v>
      </c>
    </row>
    <row r="19" spans="1:6">
      <c r="A19" s="149" t="s">
        <v>590</v>
      </c>
      <c r="B19" s="135">
        <v>5</v>
      </c>
      <c r="C19" s="136">
        <v>11843</v>
      </c>
      <c r="D19" s="140">
        <v>0</v>
      </c>
      <c r="E19" s="138">
        <v>0</v>
      </c>
      <c r="F19" s="138">
        <v>0</v>
      </c>
    </row>
    <row r="20" spans="1:6">
      <c r="A20" s="149" t="s">
        <v>141</v>
      </c>
      <c r="B20" s="135">
        <v>1</v>
      </c>
      <c r="C20" s="136">
        <v>2756</v>
      </c>
      <c r="D20" s="137">
        <v>4000</v>
      </c>
      <c r="E20" s="139">
        <v>1244</v>
      </c>
      <c r="F20" s="139">
        <v>913</v>
      </c>
    </row>
    <row r="21" spans="1:6" ht="24">
      <c r="A21" s="149" t="s">
        <v>591</v>
      </c>
      <c r="B21" s="135">
        <v>1</v>
      </c>
      <c r="C21" s="136">
        <v>4679</v>
      </c>
      <c r="D21" s="137">
        <v>5880</v>
      </c>
      <c r="E21" s="139">
        <v>1201</v>
      </c>
      <c r="F21" s="139">
        <v>639</v>
      </c>
    </row>
    <row r="22" spans="1:6">
      <c r="A22" s="149" t="s">
        <v>592</v>
      </c>
      <c r="B22" s="135">
        <v>1</v>
      </c>
      <c r="C22" s="136">
        <v>2737</v>
      </c>
      <c r="D22" s="137">
        <v>5880</v>
      </c>
      <c r="E22" s="139">
        <v>3143</v>
      </c>
      <c r="F22" s="139">
        <v>2815</v>
      </c>
    </row>
    <row r="23" spans="1:6" ht="24">
      <c r="A23" s="149" t="s">
        <v>593</v>
      </c>
      <c r="B23" s="135">
        <v>3</v>
      </c>
      <c r="C23" s="136">
        <v>9376</v>
      </c>
      <c r="D23" s="137">
        <v>17640</v>
      </c>
      <c r="E23" s="139">
        <v>8264</v>
      </c>
      <c r="F23" s="139">
        <v>7139</v>
      </c>
    </row>
    <row r="24" spans="1:6" ht="24">
      <c r="A24" s="149" t="s">
        <v>594</v>
      </c>
      <c r="B24" s="135">
        <v>2</v>
      </c>
      <c r="C24" s="136">
        <v>7319</v>
      </c>
      <c r="D24" s="137">
        <v>11760</v>
      </c>
      <c r="E24" s="139">
        <v>4441</v>
      </c>
      <c r="F24" s="139">
        <v>3563</v>
      </c>
    </row>
    <row r="25" spans="1:6">
      <c r="A25" s="149" t="s">
        <v>595</v>
      </c>
      <c r="B25" s="135">
        <v>1</v>
      </c>
      <c r="C25" s="136">
        <v>2776</v>
      </c>
      <c r="D25" s="137">
        <v>4500</v>
      </c>
      <c r="E25" s="139">
        <v>1724</v>
      </c>
      <c r="F25" s="139">
        <v>1391</v>
      </c>
    </row>
    <row r="26" spans="1:6" ht="24">
      <c r="A26" s="149" t="s">
        <v>596</v>
      </c>
      <c r="B26" s="135">
        <v>3</v>
      </c>
      <c r="C26" s="136">
        <v>5161</v>
      </c>
      <c r="D26" s="137">
        <v>10000</v>
      </c>
      <c r="E26" s="139">
        <v>4839</v>
      </c>
      <c r="F26" s="139">
        <v>4220</v>
      </c>
    </row>
    <row r="27" spans="1:6">
      <c r="A27" s="149" t="s">
        <v>597</v>
      </c>
      <c r="B27" s="135">
        <v>2</v>
      </c>
      <c r="C27" s="136">
        <v>4502</v>
      </c>
      <c r="D27" s="137">
        <v>11760</v>
      </c>
      <c r="E27" s="139">
        <v>7258</v>
      </c>
      <c r="F27" s="139">
        <v>6717</v>
      </c>
    </row>
    <row r="28" spans="1:6">
      <c r="A28" s="149" t="s">
        <v>598</v>
      </c>
      <c r="B28" s="135">
        <v>5</v>
      </c>
      <c r="C28" s="136">
        <v>7677</v>
      </c>
      <c r="D28" s="140">
        <v>0</v>
      </c>
      <c r="E28" s="138">
        <v>0</v>
      </c>
      <c r="F28" s="138">
        <v>0</v>
      </c>
    </row>
    <row r="29" spans="1:6">
      <c r="A29" s="149" t="s">
        <v>155</v>
      </c>
      <c r="B29" s="135">
        <v>2</v>
      </c>
      <c r="C29" s="136">
        <v>4621</v>
      </c>
      <c r="D29" s="137">
        <v>7000</v>
      </c>
      <c r="E29" s="139">
        <v>2379</v>
      </c>
      <c r="F29" s="139">
        <v>1825</v>
      </c>
    </row>
    <row r="30" spans="1:6">
      <c r="A30" s="149" t="s">
        <v>599</v>
      </c>
      <c r="B30" s="135">
        <v>4</v>
      </c>
      <c r="C30" s="136">
        <v>5217</v>
      </c>
      <c r="D30" s="140">
        <v>0</v>
      </c>
      <c r="E30" s="138">
        <v>0</v>
      </c>
      <c r="F30" s="138">
        <v>0</v>
      </c>
    </row>
    <row r="31" spans="1:6">
      <c r="A31" s="149" t="s">
        <v>600</v>
      </c>
      <c r="B31" s="135">
        <v>3</v>
      </c>
      <c r="C31" s="136">
        <v>4120</v>
      </c>
      <c r="D31" s="140">
        <v>0</v>
      </c>
      <c r="E31" s="138">
        <v>0</v>
      </c>
      <c r="F31" s="138">
        <v>0</v>
      </c>
    </row>
    <row r="32" spans="1:6">
      <c r="A32" s="149" t="s">
        <v>601</v>
      </c>
      <c r="B32" s="135">
        <v>3</v>
      </c>
      <c r="C32" s="136">
        <v>3178</v>
      </c>
      <c r="D32" s="140">
        <v>0</v>
      </c>
      <c r="E32" s="138">
        <v>0</v>
      </c>
      <c r="F32" s="138">
        <v>0</v>
      </c>
    </row>
    <row r="33" spans="1:6">
      <c r="A33" s="149" t="s">
        <v>162</v>
      </c>
      <c r="B33" s="135">
        <v>4</v>
      </c>
      <c r="C33" s="136">
        <v>8555</v>
      </c>
      <c r="D33" s="137">
        <v>16000</v>
      </c>
      <c r="E33" s="139">
        <v>7445</v>
      </c>
      <c r="F33" s="139">
        <v>6419</v>
      </c>
    </row>
    <row r="34" spans="1:6">
      <c r="A34" s="149" t="s">
        <v>602</v>
      </c>
      <c r="B34" s="135">
        <v>1</v>
      </c>
      <c r="C34" s="136">
        <v>6476</v>
      </c>
      <c r="D34" s="140">
        <v>0</v>
      </c>
      <c r="E34" s="138">
        <v>0</v>
      </c>
      <c r="F34" s="138">
        <v>0</v>
      </c>
    </row>
    <row r="35" spans="1:6">
      <c r="A35" s="149" t="s">
        <v>509</v>
      </c>
      <c r="B35" s="135">
        <v>3</v>
      </c>
      <c r="C35" s="136">
        <v>6559</v>
      </c>
      <c r="D35" s="137">
        <v>7226</v>
      </c>
      <c r="E35" s="139">
        <v>667</v>
      </c>
      <c r="F35" s="139">
        <v>-120</v>
      </c>
    </row>
    <row r="36" spans="1:6">
      <c r="A36" s="149" t="s">
        <v>167</v>
      </c>
      <c r="B36" s="135">
        <v>6</v>
      </c>
      <c r="C36" s="136">
        <v>10460</v>
      </c>
      <c r="D36" s="137">
        <v>12917</v>
      </c>
      <c r="E36" s="139">
        <v>2457</v>
      </c>
      <c r="F36" s="139">
        <v>1202</v>
      </c>
    </row>
    <row r="37" spans="1:6">
      <c r="A37" s="149" t="s">
        <v>603</v>
      </c>
      <c r="B37" s="135">
        <v>1</v>
      </c>
      <c r="C37" s="136">
        <v>2057</v>
      </c>
      <c r="D37" s="140">
        <v>0</v>
      </c>
      <c r="E37" s="138">
        <v>0</v>
      </c>
      <c r="F37" s="138">
        <v>0</v>
      </c>
    </row>
    <row r="38" spans="1:6">
      <c r="A38" s="149" t="s">
        <v>604</v>
      </c>
      <c r="B38" s="135">
        <v>10</v>
      </c>
      <c r="C38" s="136">
        <v>13860</v>
      </c>
      <c r="D38" s="140">
        <v>0</v>
      </c>
      <c r="E38" s="138">
        <v>0</v>
      </c>
      <c r="F38" s="138">
        <v>0</v>
      </c>
    </row>
    <row r="39" spans="1:6">
      <c r="A39" s="149" t="s">
        <v>605</v>
      </c>
      <c r="B39" s="135">
        <v>1</v>
      </c>
      <c r="C39" s="136">
        <v>3164</v>
      </c>
      <c r="D39" s="140">
        <v>0</v>
      </c>
      <c r="E39" s="138">
        <v>0</v>
      </c>
      <c r="F39" s="138">
        <v>0</v>
      </c>
    </row>
    <row r="40" spans="1:6">
      <c r="A40" s="149" t="s">
        <v>168</v>
      </c>
      <c r="B40" s="135">
        <v>11</v>
      </c>
      <c r="C40" s="136">
        <v>19254</v>
      </c>
      <c r="D40" s="137">
        <v>41975</v>
      </c>
      <c r="E40" s="139">
        <v>22721</v>
      </c>
      <c r="F40" s="139">
        <v>20410</v>
      </c>
    </row>
    <row r="41" spans="1:6">
      <c r="A41" s="149" t="s">
        <v>92</v>
      </c>
      <c r="B41" s="135">
        <v>6</v>
      </c>
      <c r="C41" s="136">
        <v>10603</v>
      </c>
      <c r="D41" s="140">
        <v>0</v>
      </c>
      <c r="E41" s="138">
        <v>0</v>
      </c>
      <c r="F41" s="138">
        <v>0</v>
      </c>
    </row>
    <row r="42" spans="1:6">
      <c r="A42" s="149" t="s">
        <v>380</v>
      </c>
      <c r="B42" s="135">
        <v>3</v>
      </c>
      <c r="C42" s="136">
        <v>10964</v>
      </c>
      <c r="D42" s="137">
        <v>12500</v>
      </c>
      <c r="E42" s="139">
        <v>1536</v>
      </c>
      <c r="F42" s="139">
        <v>221</v>
      </c>
    </row>
    <row r="43" spans="1:6">
      <c r="A43" s="149" t="s">
        <v>382</v>
      </c>
      <c r="B43" s="135">
        <v>2</v>
      </c>
      <c r="C43" s="136">
        <v>5514</v>
      </c>
      <c r="D43" s="141">
        <v>4166</v>
      </c>
      <c r="E43" s="139">
        <v>-1348</v>
      </c>
      <c r="F43" s="139">
        <v>-2010</v>
      </c>
    </row>
    <row r="44" spans="1:6">
      <c r="A44" s="149" t="s">
        <v>174</v>
      </c>
      <c r="B44" s="135">
        <v>10</v>
      </c>
      <c r="C44" s="136">
        <v>27604</v>
      </c>
      <c r="D44" s="137">
        <v>45600</v>
      </c>
      <c r="E44" s="139">
        <v>17996</v>
      </c>
      <c r="F44" s="139">
        <v>14684</v>
      </c>
    </row>
    <row r="45" spans="1:6">
      <c r="A45" s="149" t="s">
        <v>606</v>
      </c>
      <c r="B45" s="135">
        <v>11</v>
      </c>
      <c r="C45" s="136">
        <v>22792</v>
      </c>
      <c r="D45" s="140">
        <v>0</v>
      </c>
      <c r="E45" s="138">
        <v>0</v>
      </c>
      <c r="F45" s="138">
        <v>0</v>
      </c>
    </row>
    <row r="46" spans="1:6">
      <c r="A46" s="150" t="s">
        <v>177</v>
      </c>
      <c r="B46" s="142">
        <v>1</v>
      </c>
      <c r="C46" s="143">
        <v>3417</v>
      </c>
      <c r="D46" s="144">
        <v>4800</v>
      </c>
      <c r="E46" s="139">
        <v>1383</v>
      </c>
      <c r="F46" s="139">
        <v>973</v>
      </c>
    </row>
    <row r="47" spans="1:6">
      <c r="A47" s="151" t="s">
        <v>26</v>
      </c>
      <c r="B47" s="145">
        <v>178</v>
      </c>
      <c r="C47" s="146">
        <v>409460</v>
      </c>
      <c r="D47" s="147">
        <v>482885</v>
      </c>
      <c r="E47" s="139">
        <v>73425</v>
      </c>
      <c r="F47" s="139">
        <v>24290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CB05-4F3C-49F8-9E12-4E83191F1F4D}">
  <sheetPr codeName="Sheet8"/>
  <dimension ref="A1:G19"/>
  <sheetViews>
    <sheetView zoomScaleNormal="100" workbookViewId="0">
      <pane ySplit="1" topLeftCell="A8" activePane="bottomLeft" state="frozen"/>
      <selection pane="bottomLeft" activeCell="C8" sqref="C8"/>
    </sheetView>
  </sheetViews>
  <sheetFormatPr defaultRowHeight="15" customHeight="1"/>
  <cols>
    <col min="1" max="1" width="24.85546875" style="343" customWidth="1"/>
    <col min="2" max="2" width="124.42578125" style="343" customWidth="1"/>
    <col min="3" max="3" width="107.28515625" bestFit="1" customWidth="1"/>
  </cols>
  <sheetData>
    <row r="1" spans="1:7" s="158" customFormat="1">
      <c r="A1" s="425" t="s">
        <v>607</v>
      </c>
      <c r="B1" s="426" t="s">
        <v>608</v>
      </c>
      <c r="C1" s="436" t="s">
        <v>609</v>
      </c>
      <c r="D1" s="435" t="s">
        <v>610</v>
      </c>
    </row>
    <row r="2" spans="1:7" s="158" customFormat="1">
      <c r="A2" s="427" t="s">
        <v>97</v>
      </c>
      <c r="B2" s="428"/>
      <c r="C2" s="343"/>
      <c r="D2" s="343"/>
      <c r="E2"/>
      <c r="F2"/>
      <c r="G2"/>
    </row>
    <row r="3" spans="1:7" ht="47.25" customHeight="1">
      <c r="A3" s="427" t="s">
        <v>52</v>
      </c>
      <c r="B3" s="429"/>
      <c r="C3" s="343"/>
      <c r="D3" s="343"/>
      <c r="G3" s="156"/>
    </row>
    <row r="4" spans="1:7">
      <c r="A4" s="427" t="s">
        <v>611</v>
      </c>
      <c r="B4" s="428"/>
      <c r="C4" s="343"/>
      <c r="D4" s="343"/>
    </row>
    <row r="5" spans="1:7" s="4" customFormat="1" ht="14.25">
      <c r="A5" s="427" t="s">
        <v>176</v>
      </c>
      <c r="B5" s="428" t="s">
        <v>612</v>
      </c>
      <c r="C5" s="343"/>
      <c r="D5" s="343"/>
    </row>
    <row r="6" spans="1:7">
      <c r="A6" s="427" t="s">
        <v>170</v>
      </c>
      <c r="B6" s="430"/>
      <c r="C6" s="343" t="s">
        <v>613</v>
      </c>
      <c r="D6" s="343"/>
    </row>
    <row r="7" spans="1:7" ht="333.75">
      <c r="A7" s="427" t="s">
        <v>124</v>
      </c>
      <c r="B7" s="424" t="s">
        <v>614</v>
      </c>
      <c r="C7" s="394" t="s">
        <v>615</v>
      </c>
      <c r="D7" s="343"/>
    </row>
    <row r="8" spans="1:7" ht="164.25" customHeight="1">
      <c r="A8" s="427" t="s">
        <v>498</v>
      </c>
      <c r="B8" s="428" t="s">
        <v>616</v>
      </c>
      <c r="C8" s="394" t="s">
        <v>617</v>
      </c>
      <c r="D8" s="343"/>
    </row>
    <row r="9" spans="1:7">
      <c r="A9" s="427" t="s">
        <v>164</v>
      </c>
      <c r="B9" s="431"/>
      <c r="C9" s="343"/>
      <c r="D9" s="343"/>
    </row>
    <row r="10" spans="1:7">
      <c r="A10" s="427" t="s">
        <v>173</v>
      </c>
      <c r="B10" s="432"/>
      <c r="C10" s="343"/>
      <c r="D10" s="343"/>
    </row>
    <row r="11" spans="1:7">
      <c r="A11" s="427" t="s">
        <v>167</v>
      </c>
      <c r="B11" s="428"/>
      <c r="C11" s="343"/>
      <c r="D11" s="343"/>
    </row>
    <row r="12" spans="1:7">
      <c r="A12" s="433" t="s">
        <v>157</v>
      </c>
      <c r="B12" s="434"/>
      <c r="C12" s="343"/>
      <c r="D12" s="343"/>
    </row>
    <row r="13" spans="1:7" ht="12.75"/>
    <row r="14" spans="1:7" ht="12.75">
      <c r="B14" s="343" t="s">
        <v>618</v>
      </c>
    </row>
    <row r="15" spans="1:7" ht="12.75"/>
    <row r="16" spans="1:7" ht="12.75"/>
    <row r="17" ht="12.75"/>
    <row r="18" ht="12.75"/>
    <row r="19" ht="12.75"/>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5A7D-068C-412C-865C-283C489C802F}">
  <sheetPr codeName="Sheet9"/>
  <dimension ref="A1:E74"/>
  <sheetViews>
    <sheetView zoomScaleNormal="100" workbookViewId="0">
      <pane ySplit="1" topLeftCell="A2" activePane="bottomLeft" state="frozen"/>
      <selection pane="bottomLeft" activeCell="C75" sqref="C75"/>
    </sheetView>
  </sheetViews>
  <sheetFormatPr defaultRowHeight="12.75"/>
  <cols>
    <col min="2" max="2" width="68.5703125" customWidth="1"/>
    <col min="3" max="3" width="59" customWidth="1"/>
    <col min="4" max="4" width="55" customWidth="1"/>
  </cols>
  <sheetData>
    <row r="1" spans="1:5" ht="15">
      <c r="A1" s="152"/>
      <c r="B1" s="153" t="s">
        <v>619</v>
      </c>
      <c r="C1" s="154" t="s">
        <v>620</v>
      </c>
      <c r="D1" s="153" t="s">
        <v>479</v>
      </c>
      <c r="E1" s="152"/>
    </row>
    <row r="2" spans="1:5" ht="15.75">
      <c r="B2" s="418" t="s">
        <v>621</v>
      </c>
      <c r="C2" s="152"/>
      <c r="D2" s="419"/>
    </row>
    <row r="3" spans="1:5" ht="29.25">
      <c r="B3" s="419" t="s">
        <v>622</v>
      </c>
      <c r="C3" s="152" t="s">
        <v>623</v>
      </c>
      <c r="D3" s="419"/>
    </row>
    <row r="4" spans="1:5" ht="15">
      <c r="B4" s="419" t="s">
        <v>624</v>
      </c>
      <c r="C4" s="152" t="s">
        <v>625</v>
      </c>
      <c r="D4" s="420" t="s">
        <v>626</v>
      </c>
    </row>
    <row r="5" spans="1:5" ht="29.25">
      <c r="B5" s="419" t="s">
        <v>627</v>
      </c>
      <c r="C5" s="152" t="s">
        <v>625</v>
      </c>
      <c r="D5" s="420" t="s">
        <v>626</v>
      </c>
    </row>
    <row r="6" spans="1:5" ht="15">
      <c r="B6" s="419" t="s">
        <v>628</v>
      </c>
      <c r="C6" s="152" t="s">
        <v>625</v>
      </c>
      <c r="D6" s="420" t="s">
        <v>626</v>
      </c>
    </row>
    <row r="7" spans="1:5" ht="15">
      <c r="B7" s="419"/>
      <c r="C7" s="152"/>
      <c r="D7" s="420" t="s">
        <v>629</v>
      </c>
    </row>
    <row r="8" spans="1:5" ht="15.75">
      <c r="B8" s="418" t="s">
        <v>630</v>
      </c>
      <c r="C8" s="152" t="s">
        <v>625</v>
      </c>
      <c r="D8" s="419"/>
    </row>
    <row r="9" spans="1:5" ht="29.25">
      <c r="B9" s="419" t="s">
        <v>631</v>
      </c>
      <c r="C9" s="152"/>
      <c r="D9" s="419" t="s">
        <v>632</v>
      </c>
    </row>
    <row r="10" spans="1:5" ht="29.25">
      <c r="B10" s="419" t="s">
        <v>633</v>
      </c>
      <c r="C10" s="152"/>
      <c r="D10" s="419" t="s">
        <v>626</v>
      </c>
    </row>
    <row r="11" spans="1:5" ht="15">
      <c r="B11" s="419" t="s">
        <v>634</v>
      </c>
      <c r="C11" s="152"/>
      <c r="D11" s="419" t="s">
        <v>626</v>
      </c>
    </row>
    <row r="12" spans="1:5" ht="29.25">
      <c r="B12" s="419" t="s">
        <v>635</v>
      </c>
      <c r="C12" s="152"/>
      <c r="D12" s="419" t="s">
        <v>632</v>
      </c>
    </row>
    <row r="13" spans="1:5" ht="29.25">
      <c r="B13" s="419" t="s">
        <v>636</v>
      </c>
      <c r="C13" s="152"/>
      <c r="D13" s="419" t="s">
        <v>637</v>
      </c>
    </row>
    <row r="14" spans="1:5" ht="29.25">
      <c r="B14" s="419" t="s">
        <v>638</v>
      </c>
      <c r="C14" s="152"/>
      <c r="D14" s="419" t="s">
        <v>637</v>
      </c>
    </row>
    <row r="15" spans="1:5" ht="29.25">
      <c r="B15" s="419" t="s">
        <v>639</v>
      </c>
      <c r="C15" s="152"/>
      <c r="D15" s="419" t="s">
        <v>637</v>
      </c>
    </row>
    <row r="16" spans="1:5" ht="15">
      <c r="B16" s="419"/>
      <c r="C16" s="152"/>
      <c r="D16" s="419"/>
    </row>
    <row r="17" spans="2:4" ht="15">
      <c r="B17" s="421" t="s">
        <v>640</v>
      </c>
      <c r="C17" s="152" t="s">
        <v>625</v>
      </c>
      <c r="D17" s="419"/>
    </row>
    <row r="18" spans="2:4" ht="15">
      <c r="B18" s="419" t="s">
        <v>641</v>
      </c>
      <c r="C18" s="152"/>
      <c r="D18" s="420" t="s">
        <v>637</v>
      </c>
    </row>
    <row r="19" spans="2:4" ht="15">
      <c r="B19" s="419" t="s">
        <v>642</v>
      </c>
      <c r="C19" s="152"/>
      <c r="D19" s="420" t="s">
        <v>637</v>
      </c>
    </row>
    <row r="20" spans="2:4" ht="29.25">
      <c r="B20" s="419" t="s">
        <v>643</v>
      </c>
      <c r="C20" s="152"/>
      <c r="D20" s="420" t="s">
        <v>637</v>
      </c>
    </row>
    <row r="21" spans="2:4" ht="15">
      <c r="B21" s="419" t="s">
        <v>644</v>
      </c>
      <c r="C21" s="152"/>
      <c r="D21" s="420" t="s">
        <v>637</v>
      </c>
    </row>
    <row r="22" spans="2:4" ht="29.25">
      <c r="B22" s="419" t="s">
        <v>645</v>
      </c>
      <c r="C22" s="152"/>
      <c r="D22" s="420" t="s">
        <v>637</v>
      </c>
    </row>
    <row r="23" spans="2:4" ht="15">
      <c r="B23" s="419" t="s">
        <v>646</v>
      </c>
      <c r="C23" s="152"/>
      <c r="D23" s="420" t="s">
        <v>637</v>
      </c>
    </row>
    <row r="24" spans="2:4" ht="15">
      <c r="B24" s="419"/>
      <c r="C24" s="152"/>
      <c r="D24" s="419"/>
    </row>
    <row r="25" spans="2:4" ht="15">
      <c r="B25" s="421" t="s">
        <v>647</v>
      </c>
      <c r="C25" s="152"/>
      <c r="D25" s="420" t="s">
        <v>629</v>
      </c>
    </row>
    <row r="26" spans="2:4" ht="29.25">
      <c r="B26" s="419" t="s">
        <v>648</v>
      </c>
      <c r="C26" s="152" t="s">
        <v>623</v>
      </c>
      <c r="D26" s="419"/>
    </row>
    <row r="27" spans="2:4" ht="29.25">
      <c r="B27" s="419" t="s">
        <v>649</v>
      </c>
      <c r="C27" s="152" t="s">
        <v>623</v>
      </c>
      <c r="D27" s="419"/>
    </row>
    <row r="28" spans="2:4" ht="15">
      <c r="B28" s="419" t="s">
        <v>650</v>
      </c>
      <c r="C28" s="152" t="s">
        <v>623</v>
      </c>
      <c r="D28" s="419"/>
    </row>
    <row r="29" spans="2:4" ht="15">
      <c r="B29" s="419" t="s">
        <v>651</v>
      </c>
      <c r="C29" s="152" t="s">
        <v>623</v>
      </c>
      <c r="D29" s="419"/>
    </row>
    <row r="30" spans="2:4" ht="15">
      <c r="B30" s="419"/>
      <c r="C30" s="152"/>
      <c r="D30" s="419"/>
    </row>
    <row r="31" spans="2:4" ht="15">
      <c r="B31" s="419" t="s">
        <v>652</v>
      </c>
      <c r="C31" s="152" t="s">
        <v>625</v>
      </c>
      <c r="D31" s="419"/>
    </row>
    <row r="32" spans="2:4" ht="29.25">
      <c r="B32" s="419" t="s">
        <v>653</v>
      </c>
      <c r="C32" s="152" t="s">
        <v>625</v>
      </c>
      <c r="D32" s="419"/>
    </row>
    <row r="33" spans="2:4" ht="15">
      <c r="B33" s="419" t="s">
        <v>654</v>
      </c>
      <c r="C33" s="152" t="s">
        <v>625</v>
      </c>
      <c r="D33" s="419"/>
    </row>
    <row r="34" spans="2:4" ht="15">
      <c r="B34" s="419" t="s">
        <v>655</v>
      </c>
      <c r="C34" s="152" t="s">
        <v>625</v>
      </c>
      <c r="D34" s="419"/>
    </row>
    <row r="35" spans="2:4" ht="29.25">
      <c r="B35" s="419" t="s">
        <v>656</v>
      </c>
      <c r="C35" s="152" t="s">
        <v>625</v>
      </c>
      <c r="D35" s="419"/>
    </row>
    <row r="36" spans="2:4" ht="29.25">
      <c r="B36" s="419" t="s">
        <v>657</v>
      </c>
      <c r="C36" s="152" t="s">
        <v>625</v>
      </c>
      <c r="D36" s="419"/>
    </row>
    <row r="37" spans="2:4" ht="15">
      <c r="B37" s="419"/>
      <c r="C37" s="152"/>
      <c r="D37" s="419"/>
    </row>
    <row r="38" spans="2:4" ht="15">
      <c r="B38" s="421" t="s">
        <v>658</v>
      </c>
      <c r="C38" s="152" t="s">
        <v>625</v>
      </c>
      <c r="D38" s="420" t="s">
        <v>626</v>
      </c>
    </row>
    <row r="39" spans="2:4" ht="29.25">
      <c r="B39" s="419" t="s">
        <v>659</v>
      </c>
      <c r="C39" s="422" t="s">
        <v>660</v>
      </c>
      <c r="D39" s="419"/>
    </row>
    <row r="40" spans="2:4" ht="15">
      <c r="B40" s="419" t="s">
        <v>661</v>
      </c>
      <c r="C40" s="152"/>
      <c r="D40" s="419"/>
    </row>
    <row r="41" spans="2:4" ht="29.25">
      <c r="B41" s="419" t="s">
        <v>662</v>
      </c>
      <c r="C41" s="152"/>
      <c r="D41" s="420" t="s">
        <v>626</v>
      </c>
    </row>
    <row r="42" spans="2:4" ht="12.75" customHeight="1">
      <c r="B42" s="419" t="s">
        <v>663</v>
      </c>
      <c r="C42" s="561" t="s">
        <v>664</v>
      </c>
      <c r="D42" s="420" t="s">
        <v>626</v>
      </c>
    </row>
    <row r="43" spans="2:4" ht="29.25">
      <c r="B43" s="419" t="s">
        <v>665</v>
      </c>
      <c r="C43" s="561"/>
      <c r="D43" s="419"/>
    </row>
    <row r="44" spans="2:4" ht="29.25">
      <c r="B44" s="419" t="s">
        <v>666</v>
      </c>
      <c r="C44" s="419" t="s">
        <v>667</v>
      </c>
      <c r="D44" s="419"/>
    </row>
    <row r="45" spans="2:4" ht="29.25">
      <c r="B45" s="419" t="s">
        <v>668</v>
      </c>
      <c r="C45" s="152"/>
      <c r="D45" s="419"/>
    </row>
    <row r="46" spans="2:4" ht="15">
      <c r="B46" s="419"/>
      <c r="C46" s="152"/>
      <c r="D46" s="419"/>
    </row>
    <row r="47" spans="2:4" ht="15">
      <c r="B47" s="421" t="s">
        <v>669</v>
      </c>
      <c r="C47" s="152"/>
      <c r="D47" s="419"/>
    </row>
    <row r="48" spans="2:4" ht="29.25">
      <c r="B48" s="419" t="s">
        <v>670</v>
      </c>
      <c r="C48" s="152"/>
      <c r="D48" s="419"/>
    </row>
    <row r="49" spans="2:4" ht="29.25">
      <c r="B49" s="419" t="s">
        <v>671</v>
      </c>
      <c r="C49" s="152"/>
      <c r="D49" s="419"/>
    </row>
    <row r="50" spans="2:4" ht="15">
      <c r="B50" s="419"/>
      <c r="C50" s="152"/>
      <c r="D50" s="419"/>
    </row>
    <row r="51" spans="2:4" ht="15">
      <c r="B51" s="421" t="s">
        <v>672</v>
      </c>
      <c r="C51" s="152"/>
      <c r="D51" s="419"/>
    </row>
    <row r="52" spans="2:4" ht="29.25">
      <c r="B52" s="419" t="s">
        <v>673</v>
      </c>
      <c r="C52" s="152"/>
      <c r="D52" s="419"/>
    </row>
    <row r="53" spans="2:4" ht="29.25">
      <c r="B53" s="419" t="s">
        <v>674</v>
      </c>
      <c r="C53" s="152"/>
      <c r="D53" s="419"/>
    </row>
    <row r="54" spans="2:4" ht="15">
      <c r="B54" s="419" t="s">
        <v>675</v>
      </c>
      <c r="C54" s="152"/>
      <c r="D54" s="419"/>
    </row>
    <row r="55" spans="2:4" ht="29.25">
      <c r="B55" s="419" t="s">
        <v>676</v>
      </c>
      <c r="C55" s="152"/>
      <c r="D55" s="419"/>
    </row>
    <row r="56" spans="2:4" ht="29.25">
      <c r="B56" s="419" t="s">
        <v>677</v>
      </c>
      <c r="C56" s="152"/>
      <c r="D56" s="419"/>
    </row>
    <row r="57" spans="2:4" ht="29.25">
      <c r="B57" s="419" t="s">
        <v>678</v>
      </c>
      <c r="C57" s="152"/>
      <c r="D57" s="419"/>
    </row>
    <row r="58" spans="2:4" ht="15">
      <c r="B58" s="419"/>
      <c r="C58" s="152"/>
      <c r="D58" s="419"/>
    </row>
    <row r="59" spans="2:4" ht="43.5">
      <c r="B59" s="423" t="s">
        <v>679</v>
      </c>
      <c r="C59" s="152"/>
      <c r="D59" s="419"/>
    </row>
    <row r="60" spans="2:4" ht="29.25">
      <c r="B60" s="419" t="s">
        <v>680</v>
      </c>
      <c r="C60" s="152"/>
      <c r="D60" s="419"/>
    </row>
    <row r="61" spans="2:4" ht="29.25">
      <c r="B61" s="419" t="s">
        <v>681</v>
      </c>
      <c r="C61" s="152"/>
      <c r="D61" s="419"/>
    </row>
    <row r="62" spans="2:4" ht="29.25">
      <c r="B62" s="419" t="s">
        <v>682</v>
      </c>
      <c r="C62" s="152"/>
      <c r="D62" s="419"/>
    </row>
    <row r="63" spans="2:4" ht="29.25">
      <c r="B63" s="419" t="s">
        <v>683</v>
      </c>
      <c r="C63" s="152"/>
      <c r="D63" s="419"/>
    </row>
    <row r="64" spans="2:4" ht="29.25">
      <c r="B64" s="419" t="s">
        <v>684</v>
      </c>
      <c r="C64" s="152"/>
      <c r="D64" s="419"/>
    </row>
    <row r="65" spans="2:4" ht="29.25">
      <c r="B65" s="419" t="s">
        <v>685</v>
      </c>
      <c r="C65" s="152"/>
      <c r="D65" s="419"/>
    </row>
    <row r="66" spans="2:4" ht="29.25">
      <c r="B66" s="419" t="s">
        <v>686</v>
      </c>
      <c r="C66" s="152"/>
      <c r="D66" s="419"/>
    </row>
    <row r="67" spans="2:4" ht="15">
      <c r="B67" s="419"/>
      <c r="C67" s="152"/>
      <c r="D67" s="419"/>
    </row>
    <row r="68" spans="2:4" ht="15">
      <c r="B68" s="419"/>
      <c r="C68" s="152"/>
      <c r="D68" s="419"/>
    </row>
    <row r="69" spans="2:4" ht="15">
      <c r="B69" s="421" t="s">
        <v>687</v>
      </c>
      <c r="C69" s="152"/>
      <c r="D69" s="419"/>
    </row>
    <row r="70" spans="2:4" ht="15">
      <c r="B70" s="419" t="s">
        <v>688</v>
      </c>
      <c r="C70" s="152" t="s">
        <v>632</v>
      </c>
      <c r="D70" s="419"/>
    </row>
    <row r="71" spans="2:4" ht="15">
      <c r="B71" s="419" t="s">
        <v>689</v>
      </c>
      <c r="C71" s="152" t="s">
        <v>690</v>
      </c>
      <c r="D71" s="419"/>
    </row>
    <row r="72" spans="2:4" ht="15">
      <c r="B72" s="419"/>
      <c r="C72" s="152"/>
      <c r="D72" s="419"/>
    </row>
    <row r="73" spans="2:4" ht="15">
      <c r="B73" s="421" t="s">
        <v>691</v>
      </c>
      <c r="C73" s="152"/>
      <c r="D73" s="419"/>
    </row>
    <row r="74" spans="2:4" ht="15">
      <c r="B74" s="419" t="s">
        <v>692</v>
      </c>
      <c r="C74" s="152" t="s">
        <v>632</v>
      </c>
      <c r="D74" s="419"/>
    </row>
  </sheetData>
  <mergeCells count="1">
    <mergeCell ref="C42:C4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A9D6-8B49-42D9-9193-C1BFAEF1A19C}">
  <sheetPr codeName="Sheet3">
    <tabColor theme="3"/>
  </sheetPr>
  <dimension ref="A1:T37"/>
  <sheetViews>
    <sheetView workbookViewId="0"/>
  </sheetViews>
  <sheetFormatPr defaultRowHeight="12.75"/>
  <cols>
    <col min="2" max="2" width="34" customWidth="1"/>
    <col min="3" max="3" width="26.5703125" customWidth="1"/>
    <col min="4" max="4" width="11.42578125" customWidth="1"/>
    <col min="5" max="5" width="11.5703125" customWidth="1"/>
    <col min="6" max="6" width="10.5703125" customWidth="1"/>
    <col min="7" max="7" width="35.85546875" customWidth="1"/>
    <col min="8" max="8" width="23" customWidth="1"/>
    <col min="9" max="9" width="14" customWidth="1"/>
    <col min="10" max="10" width="13.42578125" customWidth="1"/>
  </cols>
  <sheetData>
    <row r="1" spans="1:20">
      <c r="A1" s="191"/>
      <c r="B1" s="193" t="s">
        <v>693</v>
      </c>
      <c r="C1" s="194"/>
      <c r="D1" s="194"/>
      <c r="E1" s="194"/>
      <c r="F1" s="194"/>
      <c r="G1" s="194"/>
      <c r="H1" s="194"/>
      <c r="I1" s="194"/>
      <c r="J1" s="194"/>
      <c r="K1" s="189"/>
      <c r="L1" s="189"/>
      <c r="M1" s="189"/>
      <c r="N1" s="189"/>
      <c r="O1" s="189"/>
      <c r="P1" s="189"/>
      <c r="Q1" s="189"/>
      <c r="R1" s="189"/>
      <c r="S1" s="189"/>
      <c r="T1" s="189"/>
    </row>
    <row r="2" spans="1:20">
      <c r="A2" s="191"/>
      <c r="B2" s="190" t="s">
        <v>694</v>
      </c>
      <c r="C2" s="190" t="s">
        <v>695</v>
      </c>
      <c r="D2" s="190" t="s">
        <v>696</v>
      </c>
      <c r="E2" s="190" t="s">
        <v>697</v>
      </c>
      <c r="F2" s="190" t="s">
        <v>698</v>
      </c>
      <c r="G2" s="190" t="s">
        <v>699</v>
      </c>
      <c r="H2" s="190" t="s">
        <v>700</v>
      </c>
      <c r="I2" s="190" t="s">
        <v>701</v>
      </c>
      <c r="J2" s="190" t="s">
        <v>702</v>
      </c>
      <c r="K2" s="189"/>
      <c r="L2" s="189"/>
      <c r="M2" s="189"/>
      <c r="N2" s="189"/>
      <c r="O2" s="189"/>
      <c r="P2" s="189"/>
      <c r="Q2" s="189"/>
      <c r="R2" s="189"/>
      <c r="S2" s="189"/>
      <c r="T2" s="189"/>
    </row>
    <row r="3" spans="1:20">
      <c r="A3" s="191" cm="1">
        <f t="array" ref="A3:A9">_xlfn.SEQUENCE(COUNTA(B3:B14))</f>
        <v>1</v>
      </c>
      <c r="B3" s="189" t="s">
        <v>703</v>
      </c>
      <c r="C3" s="189" t="s">
        <v>704</v>
      </c>
      <c r="D3" s="189" t="s">
        <v>52</v>
      </c>
      <c r="E3" s="197">
        <v>45902</v>
      </c>
      <c r="F3" s="197">
        <v>46081</v>
      </c>
      <c r="G3" s="189" t="s">
        <v>705</v>
      </c>
      <c r="H3" s="189"/>
      <c r="I3" s="189" t="s">
        <v>21</v>
      </c>
      <c r="J3" s="189" t="s">
        <v>706</v>
      </c>
      <c r="K3" s="189"/>
      <c r="L3" s="189"/>
      <c r="M3" s="189"/>
      <c r="N3" s="189"/>
      <c r="O3" s="189"/>
      <c r="P3" s="189"/>
      <c r="Q3" s="189"/>
      <c r="R3" s="189"/>
      <c r="S3" s="189"/>
      <c r="T3" s="189"/>
    </row>
    <row r="4" spans="1:20">
      <c r="A4" s="191">
        <v>2</v>
      </c>
      <c r="B4" s="189" t="s">
        <v>707</v>
      </c>
      <c r="C4" s="189" t="s">
        <v>708</v>
      </c>
      <c r="D4" s="189" t="s">
        <v>52</v>
      </c>
      <c r="E4" s="197">
        <v>45597</v>
      </c>
      <c r="F4" s="197">
        <v>46142</v>
      </c>
      <c r="G4" s="189"/>
      <c r="H4" s="189"/>
      <c r="I4" s="189" t="s">
        <v>709</v>
      </c>
      <c r="J4" s="189" t="s">
        <v>706</v>
      </c>
      <c r="K4" s="189"/>
      <c r="L4" s="189"/>
      <c r="M4" s="189"/>
      <c r="N4" s="189"/>
      <c r="O4" s="189"/>
      <c r="P4" s="189"/>
      <c r="Q4" s="189"/>
      <c r="R4" s="189"/>
      <c r="S4" s="189"/>
      <c r="T4" s="189"/>
    </row>
    <row r="5" spans="1:20">
      <c r="A5" s="191">
        <v>3</v>
      </c>
      <c r="B5" s="189" t="s">
        <v>710</v>
      </c>
      <c r="C5" s="189" t="s">
        <v>711</v>
      </c>
      <c r="D5" s="189" t="s">
        <v>52</v>
      </c>
      <c r="E5" s="197">
        <v>44810</v>
      </c>
      <c r="F5" s="199">
        <v>45930</v>
      </c>
      <c r="G5" s="189"/>
      <c r="H5" s="189"/>
      <c r="I5" s="189" t="s">
        <v>712</v>
      </c>
      <c r="J5" s="189" t="s">
        <v>706</v>
      </c>
      <c r="K5" s="189"/>
      <c r="L5" s="189"/>
      <c r="M5" s="189"/>
      <c r="N5" s="189"/>
      <c r="O5" s="189"/>
      <c r="P5" s="189"/>
      <c r="Q5" s="189"/>
      <c r="R5" s="189"/>
      <c r="S5" s="189"/>
      <c r="T5" s="189"/>
    </row>
    <row r="6" spans="1:20">
      <c r="A6" s="191">
        <v>4</v>
      </c>
      <c r="B6" s="189" t="s">
        <v>713</v>
      </c>
      <c r="C6" s="189" t="s">
        <v>714</v>
      </c>
      <c r="D6" s="189" t="s">
        <v>52</v>
      </c>
      <c r="E6" s="197">
        <v>45566</v>
      </c>
      <c r="F6" s="199">
        <v>45930</v>
      </c>
      <c r="G6" s="189"/>
      <c r="H6" s="189"/>
      <c r="I6" s="189" t="s">
        <v>712</v>
      </c>
      <c r="J6" s="189" t="s">
        <v>706</v>
      </c>
      <c r="K6" s="189"/>
      <c r="L6" s="189"/>
      <c r="M6" s="189"/>
      <c r="N6" s="189"/>
      <c r="O6" s="189"/>
      <c r="P6" s="189"/>
      <c r="Q6" s="189"/>
      <c r="R6" s="189"/>
      <c r="S6" s="189"/>
      <c r="T6" s="189"/>
    </row>
    <row r="7" spans="1:20">
      <c r="A7" s="191">
        <v>5</v>
      </c>
      <c r="B7" s="189" t="s">
        <v>715</v>
      </c>
      <c r="C7" s="189" t="s">
        <v>716</v>
      </c>
      <c r="D7" s="189" t="s">
        <v>52</v>
      </c>
      <c r="E7" s="199">
        <v>45922</v>
      </c>
      <c r="F7" s="197">
        <v>46287</v>
      </c>
      <c r="G7" s="189"/>
      <c r="H7" s="189"/>
      <c r="I7" s="189" t="s">
        <v>709</v>
      </c>
      <c r="J7" s="189" t="s">
        <v>706</v>
      </c>
      <c r="K7" s="189"/>
      <c r="L7" s="189"/>
      <c r="M7" s="189"/>
      <c r="N7" s="189"/>
      <c r="O7" s="189"/>
      <c r="P7" s="189"/>
      <c r="Q7" s="189"/>
      <c r="R7" s="189"/>
      <c r="S7" s="189"/>
      <c r="T7" s="189"/>
    </row>
    <row r="8" spans="1:20">
      <c r="A8" s="191">
        <v>6</v>
      </c>
      <c r="B8" s="189" t="s">
        <v>717</v>
      </c>
      <c r="C8" s="189" t="s">
        <v>718</v>
      </c>
      <c r="D8" s="189" t="s">
        <v>52</v>
      </c>
      <c r="E8" s="199">
        <v>45915</v>
      </c>
      <c r="F8" s="197">
        <v>46280</v>
      </c>
      <c r="G8" s="189"/>
      <c r="H8" s="189"/>
      <c r="I8" s="189" t="s">
        <v>709</v>
      </c>
      <c r="J8" s="189" t="s">
        <v>706</v>
      </c>
      <c r="K8" s="189"/>
      <c r="L8" s="189"/>
      <c r="M8" s="189"/>
      <c r="N8" s="189"/>
      <c r="O8" s="189"/>
      <c r="P8" s="189"/>
      <c r="Q8" s="189"/>
      <c r="R8" s="189"/>
      <c r="S8" s="189"/>
      <c r="T8" s="189"/>
    </row>
    <row r="9" spans="1:20">
      <c r="A9" s="191">
        <v>7</v>
      </c>
      <c r="B9" s="189" t="s">
        <v>719</v>
      </c>
      <c r="C9" s="189" t="s">
        <v>720</v>
      </c>
      <c r="D9" s="189" t="s">
        <v>52</v>
      </c>
      <c r="E9" s="199">
        <v>45922</v>
      </c>
      <c r="F9" s="197">
        <v>46287</v>
      </c>
      <c r="G9" s="189"/>
      <c r="H9" s="189"/>
      <c r="I9" s="189" t="s">
        <v>709</v>
      </c>
      <c r="J9" s="189" t="s">
        <v>706</v>
      </c>
      <c r="K9" s="189"/>
      <c r="L9" s="189"/>
      <c r="M9" s="189"/>
      <c r="N9" s="189"/>
      <c r="O9" s="189"/>
      <c r="P9" s="189"/>
      <c r="Q9" s="189"/>
      <c r="R9" s="189"/>
      <c r="S9" s="189"/>
      <c r="T9" s="189"/>
    </row>
    <row r="10" spans="1:20">
      <c r="A10" s="191"/>
      <c r="B10" s="189"/>
      <c r="C10" s="189"/>
      <c r="D10" s="189"/>
      <c r="E10" s="189"/>
      <c r="F10" s="189"/>
      <c r="G10" s="189"/>
      <c r="H10" s="189"/>
      <c r="I10" s="189"/>
      <c r="J10" s="189"/>
      <c r="K10" s="189"/>
      <c r="L10" s="189"/>
      <c r="M10" s="189"/>
      <c r="N10" s="189"/>
      <c r="O10" s="189"/>
      <c r="P10" s="189"/>
      <c r="Q10" s="189"/>
      <c r="R10" s="189"/>
      <c r="S10" s="189"/>
      <c r="T10" s="189"/>
    </row>
    <row r="11" spans="1:20">
      <c r="A11" s="191"/>
      <c r="B11" s="189"/>
      <c r="C11" s="189"/>
      <c r="D11" s="189"/>
      <c r="E11" s="189"/>
      <c r="F11" s="189"/>
      <c r="G11" s="189"/>
      <c r="H11" s="189"/>
      <c r="I11" s="189"/>
      <c r="J11" s="189"/>
      <c r="K11" s="189"/>
      <c r="L11" s="189"/>
      <c r="M11" s="189"/>
      <c r="N11" s="189"/>
      <c r="O11" s="189"/>
      <c r="P11" s="189"/>
      <c r="Q11" s="189"/>
      <c r="R11" s="189"/>
      <c r="S11" s="189"/>
      <c r="T11" s="189"/>
    </row>
    <row r="12" spans="1:20">
      <c r="A12" s="191"/>
      <c r="B12" s="189"/>
      <c r="C12" s="189"/>
      <c r="D12" s="189"/>
      <c r="E12" s="189"/>
      <c r="F12" s="189"/>
      <c r="G12" s="189"/>
      <c r="H12" s="189"/>
      <c r="I12" s="189"/>
      <c r="J12" s="189"/>
      <c r="K12" s="189"/>
      <c r="L12" s="189"/>
      <c r="M12" s="189"/>
      <c r="N12" s="189"/>
      <c r="O12" s="189"/>
      <c r="P12" s="189"/>
      <c r="Q12" s="189"/>
      <c r="R12" s="189"/>
      <c r="S12" s="189"/>
      <c r="T12" s="189"/>
    </row>
    <row r="13" spans="1:20">
      <c r="A13" s="191"/>
      <c r="B13" s="189"/>
      <c r="C13" s="189"/>
      <c r="D13" s="189"/>
      <c r="E13" s="189"/>
      <c r="F13" s="189"/>
      <c r="G13" s="189"/>
      <c r="H13" s="189"/>
      <c r="I13" s="189"/>
      <c r="J13" s="189"/>
      <c r="K13" s="189"/>
      <c r="L13" s="189"/>
      <c r="M13" s="189"/>
      <c r="N13" s="189"/>
      <c r="O13" s="189"/>
      <c r="P13" s="189"/>
      <c r="Q13" s="189"/>
      <c r="R13" s="189"/>
      <c r="S13" s="189"/>
      <c r="T13" s="189"/>
    </row>
    <row r="14" spans="1:20">
      <c r="A14" s="191"/>
      <c r="B14" s="189"/>
      <c r="C14" s="189"/>
      <c r="D14" s="189"/>
      <c r="E14" s="189"/>
      <c r="F14" s="189"/>
      <c r="G14" s="189"/>
      <c r="H14" s="189"/>
      <c r="I14" s="189"/>
      <c r="J14" s="189"/>
      <c r="K14" s="189"/>
      <c r="L14" s="189"/>
      <c r="M14" s="189"/>
      <c r="N14" s="189"/>
      <c r="O14" s="189"/>
      <c r="P14" s="189"/>
      <c r="Q14" s="189"/>
      <c r="R14" s="189"/>
      <c r="S14" s="189"/>
      <c r="T14" s="189"/>
    </row>
    <row r="15" spans="1:20">
      <c r="A15" s="191"/>
      <c r="B15" s="189"/>
      <c r="C15" s="189"/>
      <c r="D15" s="189"/>
      <c r="E15" s="189"/>
      <c r="F15" s="189"/>
      <c r="G15" s="189"/>
      <c r="H15" s="189"/>
      <c r="I15" s="189"/>
      <c r="J15" s="189"/>
      <c r="K15" s="189"/>
      <c r="L15" s="189"/>
      <c r="M15" s="189"/>
      <c r="N15" s="189"/>
      <c r="O15" s="189"/>
      <c r="P15" s="189"/>
      <c r="Q15" s="189"/>
      <c r="R15" s="189"/>
      <c r="S15" s="189"/>
      <c r="T15" s="189"/>
    </row>
    <row r="16" spans="1:20">
      <c r="A16" s="191"/>
      <c r="B16" s="195" t="s">
        <v>721</v>
      </c>
      <c r="C16" s="196"/>
      <c r="D16" s="196"/>
      <c r="E16" s="196"/>
      <c r="F16" s="196"/>
      <c r="G16" s="196"/>
      <c r="H16" s="196"/>
      <c r="I16" s="196"/>
      <c r="J16" s="196"/>
      <c r="K16" s="189"/>
      <c r="L16" s="189"/>
      <c r="M16" s="189"/>
      <c r="N16" s="189"/>
      <c r="O16" s="189"/>
      <c r="P16" s="189"/>
      <c r="Q16" s="189"/>
      <c r="R16" s="189"/>
      <c r="S16" s="189"/>
      <c r="T16" s="189"/>
    </row>
    <row r="17" spans="1:20">
      <c r="A17" s="191"/>
      <c r="B17" s="198" t="s">
        <v>694</v>
      </c>
      <c r="C17" s="198" t="s">
        <v>695</v>
      </c>
      <c r="D17" s="198" t="s">
        <v>696</v>
      </c>
      <c r="E17" s="198" t="s">
        <v>697</v>
      </c>
      <c r="F17" s="198" t="s">
        <v>698</v>
      </c>
      <c r="G17" s="198" t="s">
        <v>699</v>
      </c>
      <c r="H17" s="198" t="s">
        <v>700</v>
      </c>
      <c r="I17" s="198" t="s">
        <v>701</v>
      </c>
      <c r="J17" s="198" t="s">
        <v>702</v>
      </c>
      <c r="K17" s="189"/>
      <c r="L17" s="189"/>
      <c r="M17" s="189"/>
      <c r="N17" s="189"/>
      <c r="O17" s="189"/>
      <c r="P17" s="189"/>
      <c r="Q17" s="189"/>
      <c r="R17" s="189"/>
      <c r="S17" s="189"/>
      <c r="T17" s="189"/>
    </row>
    <row r="18" spans="1:20">
      <c r="A18" s="191" cm="1">
        <f t="array" ref="A18">_xlfn.SEQUENCE(COUNTA(B18:B30))</f>
        <v>1</v>
      </c>
      <c r="B18" s="189" t="s">
        <v>722</v>
      </c>
      <c r="C18" s="189" t="s">
        <v>723</v>
      </c>
      <c r="D18" s="189" t="s">
        <v>52</v>
      </c>
      <c r="E18" s="197">
        <v>45614</v>
      </c>
      <c r="F18" s="197">
        <v>45873</v>
      </c>
      <c r="G18" s="189"/>
      <c r="H18" s="189"/>
      <c r="I18" s="189"/>
      <c r="J18" s="189" t="s">
        <v>706</v>
      </c>
      <c r="K18" s="189"/>
      <c r="L18" s="189"/>
      <c r="M18" s="189"/>
      <c r="N18" s="189"/>
      <c r="O18" s="189"/>
      <c r="P18" s="189"/>
      <c r="Q18" s="189"/>
      <c r="R18" s="189"/>
      <c r="S18" s="189"/>
      <c r="T18" s="189"/>
    </row>
    <row r="19" spans="1:20">
      <c r="A19" s="191"/>
      <c r="B19" s="189"/>
      <c r="C19" s="189"/>
      <c r="D19" s="189"/>
      <c r="E19" s="189"/>
      <c r="F19" s="189"/>
      <c r="G19" s="189"/>
      <c r="H19" s="189"/>
      <c r="I19" s="189"/>
      <c r="J19" s="189"/>
      <c r="K19" s="189"/>
      <c r="L19" s="189"/>
      <c r="M19" s="189"/>
      <c r="N19" s="189"/>
      <c r="O19" s="189"/>
      <c r="P19" s="189"/>
      <c r="Q19" s="189"/>
      <c r="R19" s="189"/>
      <c r="S19" s="189"/>
      <c r="T19" s="189"/>
    </row>
    <row r="20" spans="1:20">
      <c r="A20" s="191"/>
      <c r="B20" s="189"/>
      <c r="C20" s="189"/>
      <c r="D20" s="189"/>
      <c r="E20" s="189"/>
      <c r="F20" s="189"/>
      <c r="G20" s="189"/>
      <c r="H20" s="189"/>
      <c r="I20" s="189"/>
      <c r="J20" s="189"/>
      <c r="K20" s="189"/>
      <c r="L20" s="189"/>
      <c r="M20" s="189"/>
      <c r="N20" s="189"/>
      <c r="O20" s="189"/>
      <c r="P20" s="189"/>
      <c r="Q20" s="189"/>
      <c r="R20" s="189"/>
      <c r="S20" s="189"/>
      <c r="T20" s="189"/>
    </row>
    <row r="21" spans="1:20">
      <c r="A21" s="191"/>
      <c r="B21" s="189"/>
      <c r="C21" s="189"/>
      <c r="D21" s="189"/>
      <c r="E21" s="189"/>
      <c r="F21" s="189"/>
      <c r="G21" s="189"/>
      <c r="H21" s="189"/>
      <c r="I21" s="189"/>
      <c r="J21" s="189"/>
      <c r="K21" s="189"/>
      <c r="L21" s="189"/>
      <c r="M21" s="189"/>
      <c r="N21" s="189"/>
      <c r="O21" s="189"/>
      <c r="P21" s="189"/>
      <c r="Q21" s="189"/>
      <c r="R21" s="189"/>
      <c r="S21" s="189"/>
      <c r="T21" s="189"/>
    </row>
    <row r="22" spans="1:20">
      <c r="A22" s="191"/>
      <c r="B22" s="189"/>
      <c r="C22" s="189"/>
      <c r="D22" s="189"/>
      <c r="E22" s="189"/>
      <c r="F22" s="189"/>
      <c r="G22" s="189"/>
      <c r="H22" s="189"/>
      <c r="I22" s="189"/>
      <c r="J22" s="189"/>
      <c r="K22" s="189"/>
      <c r="L22" s="189"/>
      <c r="M22" s="189"/>
      <c r="N22" s="189"/>
      <c r="O22" s="189"/>
      <c r="P22" s="189"/>
      <c r="Q22" s="189"/>
      <c r="R22" s="189"/>
      <c r="S22" s="189"/>
      <c r="T22" s="189"/>
    </row>
    <row r="23" spans="1:20">
      <c r="A23" s="191"/>
      <c r="B23" s="189"/>
      <c r="C23" s="189"/>
      <c r="D23" s="189"/>
      <c r="E23" s="189"/>
      <c r="F23" s="189"/>
      <c r="G23" s="189"/>
      <c r="H23" s="189"/>
      <c r="I23" s="189"/>
      <c r="J23" s="189"/>
      <c r="K23" s="189"/>
      <c r="L23" s="189"/>
      <c r="M23" s="189"/>
      <c r="N23" s="189"/>
      <c r="O23" s="189"/>
      <c r="P23" s="189"/>
      <c r="Q23" s="189"/>
      <c r="R23" s="189"/>
      <c r="S23" s="189"/>
      <c r="T23" s="189"/>
    </row>
    <row r="24" spans="1:20">
      <c r="A24" s="191"/>
      <c r="B24" s="189"/>
      <c r="C24" s="189"/>
      <c r="D24" s="189"/>
      <c r="E24" s="189"/>
      <c r="F24" s="189"/>
      <c r="G24" s="189"/>
      <c r="H24" s="189"/>
      <c r="I24" s="189"/>
      <c r="J24" s="189"/>
      <c r="K24" s="189"/>
      <c r="L24" s="189"/>
      <c r="M24" s="189"/>
      <c r="N24" s="189"/>
      <c r="O24" s="189"/>
      <c r="P24" s="189"/>
      <c r="Q24" s="189"/>
      <c r="R24" s="189"/>
      <c r="S24" s="189"/>
      <c r="T24" s="189"/>
    </row>
    <row r="25" spans="1:20">
      <c r="A25" s="191"/>
      <c r="B25" s="189"/>
      <c r="C25" s="189"/>
      <c r="D25" s="189"/>
      <c r="E25" s="189"/>
      <c r="F25" s="189"/>
      <c r="G25" s="189"/>
      <c r="H25" s="189"/>
      <c r="I25" s="189"/>
      <c r="J25" s="189"/>
      <c r="K25" s="189"/>
      <c r="L25" s="189"/>
      <c r="M25" s="189"/>
      <c r="N25" s="189"/>
      <c r="O25" s="189"/>
      <c r="P25" s="189"/>
      <c r="Q25" s="189"/>
      <c r="R25" s="189"/>
      <c r="S25" s="189"/>
      <c r="T25" s="189"/>
    </row>
    <row r="26" spans="1:20">
      <c r="A26" s="191"/>
      <c r="B26" s="189"/>
      <c r="C26" s="189"/>
      <c r="D26" s="189"/>
      <c r="E26" s="189"/>
      <c r="F26" s="189"/>
      <c r="G26" s="189"/>
      <c r="H26" s="189"/>
      <c r="I26" s="189"/>
      <c r="J26" s="189"/>
      <c r="K26" s="189"/>
      <c r="L26" s="189"/>
      <c r="M26" s="189"/>
      <c r="N26" s="189"/>
      <c r="O26" s="189"/>
      <c r="P26" s="189"/>
      <c r="Q26" s="189"/>
      <c r="R26" s="189"/>
      <c r="S26" s="189"/>
      <c r="T26" s="189"/>
    </row>
    <row r="27" spans="1:20">
      <c r="A27" s="191"/>
      <c r="B27" s="189"/>
      <c r="C27" s="189"/>
      <c r="D27" s="189"/>
      <c r="E27" s="189"/>
      <c r="F27" s="189"/>
      <c r="G27" s="189"/>
      <c r="H27" s="189"/>
      <c r="I27" s="189"/>
      <c r="J27" s="189"/>
      <c r="K27" s="189"/>
      <c r="L27" s="189"/>
      <c r="M27" s="189"/>
      <c r="N27" s="189"/>
      <c r="O27" s="189"/>
      <c r="P27" s="189"/>
      <c r="Q27" s="189"/>
      <c r="R27" s="189"/>
      <c r="S27" s="189"/>
      <c r="T27" s="189"/>
    </row>
    <row r="28" spans="1:20">
      <c r="A28" s="191"/>
      <c r="B28" s="189"/>
      <c r="C28" s="189"/>
      <c r="D28" s="189"/>
      <c r="E28" s="189"/>
      <c r="F28" s="189"/>
      <c r="G28" s="189"/>
      <c r="H28" s="189"/>
      <c r="I28" s="189"/>
      <c r="J28" s="189"/>
      <c r="K28" s="189"/>
      <c r="L28" s="189"/>
      <c r="M28" s="189"/>
      <c r="N28" s="189"/>
      <c r="O28" s="189"/>
      <c r="P28" s="189"/>
      <c r="Q28" s="189"/>
      <c r="R28" s="189"/>
      <c r="S28" s="189"/>
      <c r="T28" s="189"/>
    </row>
    <row r="29" spans="1:20">
      <c r="A29" s="191"/>
      <c r="B29" s="189"/>
      <c r="C29" s="189"/>
      <c r="D29" s="189"/>
      <c r="E29" s="189"/>
      <c r="F29" s="189"/>
      <c r="G29" s="189"/>
      <c r="H29" s="189"/>
      <c r="I29" s="189"/>
      <c r="J29" s="189"/>
      <c r="K29" s="189"/>
      <c r="L29" s="189"/>
      <c r="M29" s="189"/>
      <c r="N29" s="189"/>
      <c r="O29" s="189"/>
      <c r="P29" s="189"/>
      <c r="Q29" s="189"/>
      <c r="R29" s="189"/>
      <c r="S29" s="189"/>
      <c r="T29" s="189"/>
    </row>
    <row r="30" spans="1:20">
      <c r="A30" s="191"/>
      <c r="B30" s="189"/>
      <c r="C30" s="189"/>
      <c r="D30" s="189"/>
      <c r="E30" s="189"/>
      <c r="F30" s="189"/>
      <c r="G30" s="189"/>
      <c r="H30" s="189"/>
      <c r="I30" s="189"/>
      <c r="J30" s="189"/>
      <c r="K30" s="189"/>
      <c r="L30" s="189"/>
      <c r="M30" s="189"/>
      <c r="N30" s="189"/>
      <c r="O30" s="189"/>
      <c r="P30" s="189"/>
      <c r="Q30" s="189"/>
      <c r="R30" s="189"/>
      <c r="S30" s="189"/>
      <c r="T30" s="189"/>
    </row>
    <row r="31" spans="1:20">
      <c r="A31" s="191"/>
      <c r="B31" s="189"/>
      <c r="C31" s="189"/>
      <c r="D31" s="189"/>
      <c r="E31" s="189"/>
      <c r="F31" s="189"/>
      <c r="G31" s="189"/>
      <c r="H31" s="189"/>
      <c r="I31" s="189"/>
      <c r="J31" s="189"/>
      <c r="K31" s="189"/>
      <c r="L31" s="189"/>
      <c r="M31" s="189"/>
      <c r="N31" s="189"/>
      <c r="O31" s="189"/>
      <c r="P31" s="189"/>
      <c r="Q31" s="189"/>
      <c r="R31" s="189"/>
      <c r="S31" s="189"/>
      <c r="T31" s="189"/>
    </row>
    <row r="32" spans="1:20">
      <c r="A32" s="191"/>
      <c r="B32" s="189"/>
      <c r="C32" s="189"/>
      <c r="D32" s="189"/>
      <c r="E32" s="189"/>
      <c r="F32" s="189"/>
      <c r="G32" s="189"/>
      <c r="H32" s="189"/>
      <c r="I32" s="189"/>
      <c r="J32" s="189"/>
      <c r="K32" s="189"/>
      <c r="L32" s="189"/>
      <c r="M32" s="189"/>
      <c r="N32" s="189"/>
      <c r="O32" s="189"/>
      <c r="P32" s="189"/>
      <c r="Q32" s="189"/>
      <c r="R32" s="189"/>
      <c r="S32" s="189"/>
      <c r="T32" s="189"/>
    </row>
    <row r="33" spans="1:20">
      <c r="A33" s="191"/>
      <c r="B33" s="189"/>
      <c r="C33" s="189"/>
      <c r="D33" s="189"/>
      <c r="E33" s="189"/>
      <c r="F33" s="189"/>
      <c r="G33" s="189"/>
      <c r="H33" s="189"/>
      <c r="I33" s="189"/>
      <c r="J33" s="189"/>
      <c r="K33" s="189"/>
      <c r="L33" s="189"/>
      <c r="M33" s="189"/>
      <c r="N33" s="189"/>
      <c r="O33" s="189"/>
      <c r="P33" s="189"/>
      <c r="Q33" s="189"/>
      <c r="R33" s="189"/>
      <c r="S33" s="189"/>
      <c r="T33" s="189"/>
    </row>
    <row r="34" spans="1:20">
      <c r="A34" s="191"/>
      <c r="B34" s="189"/>
      <c r="C34" s="189"/>
      <c r="D34" s="189"/>
      <c r="E34" s="189"/>
      <c r="F34" s="189"/>
      <c r="G34" s="189"/>
      <c r="H34" s="189"/>
      <c r="I34" s="189"/>
      <c r="J34" s="189"/>
      <c r="K34" s="189"/>
      <c r="L34" s="189"/>
      <c r="M34" s="189"/>
      <c r="N34" s="189"/>
      <c r="O34" s="189"/>
      <c r="P34" s="189"/>
      <c r="Q34" s="189"/>
      <c r="R34" s="189"/>
      <c r="S34" s="189"/>
      <c r="T34" s="189"/>
    </row>
    <row r="35" spans="1:20">
      <c r="A35" s="192"/>
    </row>
    <row r="36" spans="1:20">
      <c r="A36" s="192"/>
    </row>
    <row r="37" spans="1:20">
      <c r="A37" s="19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25FA-58CB-447B-ADC6-11DCA58AD12B}">
  <dimension ref="A1:D90"/>
  <sheetViews>
    <sheetView workbookViewId="0">
      <pane ySplit="1" topLeftCell="A3" activePane="bottomLeft" state="frozen"/>
      <selection pane="bottomLeft" activeCell="D10" sqref="D10"/>
    </sheetView>
  </sheetViews>
  <sheetFormatPr defaultRowHeight="12.75"/>
  <cols>
    <col min="1" max="1" width="21.42578125" style="485" customWidth="1"/>
    <col min="2" max="2" width="25.140625" customWidth="1"/>
    <col min="3" max="3" width="13.5703125" customWidth="1"/>
    <col min="4" max="4" width="118.28515625" customWidth="1"/>
  </cols>
  <sheetData>
    <row r="1" spans="1:4">
      <c r="A1" s="482" t="s">
        <v>19</v>
      </c>
      <c r="B1" s="392" t="s">
        <v>254</v>
      </c>
      <c r="C1" s="392" t="s">
        <v>255</v>
      </c>
      <c r="D1" s="395" t="s">
        <v>17</v>
      </c>
    </row>
    <row r="2" spans="1:4" ht="60">
      <c r="A2" s="483" t="s">
        <v>84</v>
      </c>
      <c r="B2" s="343" t="s">
        <v>97</v>
      </c>
      <c r="C2" s="397" t="s">
        <v>31</v>
      </c>
      <c r="D2" s="394" t="s">
        <v>256</v>
      </c>
    </row>
    <row r="3" spans="1:4" ht="24">
      <c r="A3" s="483" t="s">
        <v>84</v>
      </c>
      <c r="B3" s="343" t="s">
        <v>98</v>
      </c>
      <c r="C3" s="397" t="s">
        <v>31</v>
      </c>
      <c r="D3" s="394" t="s">
        <v>257</v>
      </c>
    </row>
    <row r="4" spans="1:4" ht="36">
      <c r="A4" s="483" t="s">
        <v>84</v>
      </c>
      <c r="B4" s="343" t="s">
        <v>102</v>
      </c>
      <c r="C4" s="397" t="s">
        <v>31</v>
      </c>
      <c r="D4" s="394" t="s">
        <v>724</v>
      </c>
    </row>
    <row r="5" spans="1:4">
      <c r="A5" s="483" t="s">
        <v>84</v>
      </c>
      <c r="B5" s="343" t="s">
        <v>107</v>
      </c>
      <c r="C5" s="397" t="s">
        <v>31</v>
      </c>
      <c r="D5" s="394" t="s">
        <v>259</v>
      </c>
    </row>
    <row r="6" spans="1:4">
      <c r="A6" s="483" t="s">
        <v>84</v>
      </c>
      <c r="B6" s="343" t="s">
        <v>110</v>
      </c>
      <c r="C6" s="397" t="s">
        <v>31</v>
      </c>
      <c r="D6" s="394" t="s">
        <v>260</v>
      </c>
    </row>
    <row r="7" spans="1:4">
      <c r="A7" s="483" t="s">
        <v>84</v>
      </c>
      <c r="B7" s="343" t="s">
        <v>52</v>
      </c>
      <c r="C7" s="397" t="s">
        <v>31</v>
      </c>
      <c r="D7" s="394"/>
    </row>
    <row r="8" spans="1:4" ht="24">
      <c r="A8" s="483" t="s">
        <v>84</v>
      </c>
      <c r="B8" s="343" t="s">
        <v>121</v>
      </c>
      <c r="C8" s="397" t="s">
        <v>31</v>
      </c>
      <c r="D8" s="394" t="s">
        <v>262</v>
      </c>
    </row>
    <row r="9" spans="1:4">
      <c r="A9" s="483" t="s">
        <v>84</v>
      </c>
      <c r="B9" s="343" t="s">
        <v>124</v>
      </c>
      <c r="C9" s="397" t="s">
        <v>31</v>
      </c>
      <c r="D9" s="394" t="s">
        <v>263</v>
      </c>
    </row>
    <row r="10" spans="1:4" ht="60">
      <c r="A10" s="483" t="s">
        <v>84</v>
      </c>
      <c r="B10" s="343" t="s">
        <v>131</v>
      </c>
      <c r="C10" s="397" t="s">
        <v>31</v>
      </c>
      <c r="D10" s="394" t="s">
        <v>725</v>
      </c>
    </row>
    <row r="11" spans="1:4" ht="48">
      <c r="A11" s="483" t="s">
        <v>84</v>
      </c>
      <c r="B11" s="343" t="s">
        <v>125</v>
      </c>
      <c r="C11" s="397" t="s">
        <v>31</v>
      </c>
      <c r="D11" s="394" t="s">
        <v>726</v>
      </c>
    </row>
    <row r="12" spans="1:4">
      <c r="A12" s="483" t="s">
        <v>84</v>
      </c>
      <c r="B12" s="343" t="s">
        <v>141</v>
      </c>
      <c r="C12" s="397" t="s">
        <v>31</v>
      </c>
      <c r="D12" s="394" t="s">
        <v>123</v>
      </c>
    </row>
    <row r="13" spans="1:4" ht="178.5">
      <c r="A13" s="483" t="s">
        <v>84</v>
      </c>
      <c r="B13" s="343" t="s">
        <v>32</v>
      </c>
      <c r="C13" s="397" t="s">
        <v>31</v>
      </c>
      <c r="D13" s="437" t="s">
        <v>727</v>
      </c>
    </row>
    <row r="14" spans="1:4">
      <c r="A14" s="483" t="s">
        <v>84</v>
      </c>
      <c r="B14" s="343" t="s">
        <v>157</v>
      </c>
      <c r="C14" s="397" t="s">
        <v>31</v>
      </c>
      <c r="D14" s="394" t="s">
        <v>728</v>
      </c>
    </row>
    <row r="15" spans="1:4" ht="36">
      <c r="A15" s="483" t="s">
        <v>84</v>
      </c>
      <c r="B15" s="343" t="s">
        <v>164</v>
      </c>
      <c r="C15" s="397" t="s">
        <v>31</v>
      </c>
      <c r="D15" s="394" t="s">
        <v>163</v>
      </c>
    </row>
    <row r="16" spans="1:4" ht="24">
      <c r="A16" s="483" t="s">
        <v>84</v>
      </c>
      <c r="B16" s="343" t="s">
        <v>167</v>
      </c>
      <c r="C16" s="397" t="s">
        <v>31</v>
      </c>
      <c r="D16" s="394" t="s">
        <v>166</v>
      </c>
    </row>
    <row r="17" spans="1:4" ht="24">
      <c r="A17" s="483" t="s">
        <v>84</v>
      </c>
      <c r="B17" s="343" t="s">
        <v>170</v>
      </c>
      <c r="C17" s="397" t="s">
        <v>31</v>
      </c>
      <c r="D17" s="394" t="s">
        <v>729</v>
      </c>
    </row>
    <row r="18" spans="1:4" ht="24">
      <c r="A18" s="483" t="s">
        <v>84</v>
      </c>
      <c r="B18" s="343" t="s">
        <v>173</v>
      </c>
      <c r="C18" s="397" t="s">
        <v>31</v>
      </c>
      <c r="D18" s="394" t="s">
        <v>730</v>
      </c>
    </row>
    <row r="19" spans="1:4" ht="24">
      <c r="A19" s="483" t="s">
        <v>84</v>
      </c>
      <c r="B19" s="343" t="s">
        <v>176</v>
      </c>
      <c r="C19" s="397" t="s">
        <v>31</v>
      </c>
      <c r="D19" s="394" t="s">
        <v>731</v>
      </c>
    </row>
    <row r="20" spans="1:4">
      <c r="A20" s="483" t="s">
        <v>84</v>
      </c>
      <c r="B20" s="343" t="s">
        <v>179</v>
      </c>
      <c r="C20" s="397" t="s">
        <v>31</v>
      </c>
      <c r="D20" s="394" t="s">
        <v>178</v>
      </c>
    </row>
    <row r="21" spans="1:4">
      <c r="A21" s="483"/>
      <c r="B21" s="343"/>
      <c r="C21" s="397"/>
      <c r="D21" s="394"/>
    </row>
    <row r="22" spans="1:4">
      <c r="A22" s="488"/>
      <c r="B22" s="489"/>
      <c r="C22" s="490"/>
      <c r="D22" s="491"/>
    </row>
    <row r="23" spans="1:4">
      <c r="A23" s="483"/>
      <c r="B23" s="343"/>
      <c r="C23" s="397"/>
      <c r="D23" s="394"/>
    </row>
    <row r="24" spans="1:4">
      <c r="A24" s="484" t="s">
        <v>190</v>
      </c>
      <c r="B24" s="343" t="s">
        <v>131</v>
      </c>
      <c r="C24" s="397" t="s">
        <v>189</v>
      </c>
      <c r="D24" s="394" t="s">
        <v>271</v>
      </c>
    </row>
    <row r="25" spans="1:4">
      <c r="A25" s="484" t="s">
        <v>190</v>
      </c>
      <c r="B25" s="343" t="s">
        <v>125</v>
      </c>
      <c r="C25" s="397" t="s">
        <v>189</v>
      </c>
      <c r="D25" s="394" t="s">
        <v>272</v>
      </c>
    </row>
    <row r="26" spans="1:4" ht="24">
      <c r="A26" s="484" t="s">
        <v>190</v>
      </c>
      <c r="B26" s="343" t="s">
        <v>160</v>
      </c>
      <c r="C26" s="397" t="s">
        <v>127</v>
      </c>
      <c r="D26" s="394" t="s">
        <v>273</v>
      </c>
    </row>
    <row r="27" spans="1:4">
      <c r="A27" s="484" t="s">
        <v>190</v>
      </c>
      <c r="B27" s="343" t="s">
        <v>274</v>
      </c>
      <c r="C27" s="397" t="s">
        <v>120</v>
      </c>
      <c r="D27" s="394" t="s">
        <v>275</v>
      </c>
    </row>
    <row r="28" spans="1:4">
      <c r="A28" s="484" t="s">
        <v>190</v>
      </c>
      <c r="B28" s="343"/>
      <c r="C28" s="397"/>
      <c r="D28" s="394"/>
    </row>
    <row r="29" spans="1:4">
      <c r="A29" s="484"/>
      <c r="B29" s="343"/>
      <c r="C29" s="397"/>
      <c r="D29" s="394"/>
    </row>
    <row r="30" spans="1:4">
      <c r="A30" s="488"/>
      <c r="B30" s="489"/>
      <c r="C30" s="490"/>
      <c r="D30" s="491"/>
    </row>
    <row r="31" spans="1:4">
      <c r="A31" s="484"/>
      <c r="B31" s="343"/>
      <c r="C31" s="397"/>
      <c r="D31" s="394"/>
    </row>
    <row r="32" spans="1:4">
      <c r="A32" s="483"/>
      <c r="B32" s="343"/>
      <c r="C32" s="397"/>
      <c r="D32" s="394"/>
    </row>
    <row r="33" spans="1:4">
      <c r="A33" s="484" t="s">
        <v>202</v>
      </c>
      <c r="B33" s="343" t="s">
        <v>201</v>
      </c>
      <c r="C33" s="397" t="s">
        <v>120</v>
      </c>
      <c r="D33" s="394" t="s">
        <v>200</v>
      </c>
    </row>
    <row r="34" spans="1:4">
      <c r="A34" s="484" t="s">
        <v>202</v>
      </c>
      <c r="B34" s="343" t="s">
        <v>203</v>
      </c>
      <c r="C34" s="397" t="s">
        <v>206</v>
      </c>
      <c r="D34" s="394" t="s">
        <v>205</v>
      </c>
    </row>
    <row r="35" spans="1:4">
      <c r="A35" s="484" t="s">
        <v>202</v>
      </c>
      <c r="B35" s="343" t="s">
        <v>207</v>
      </c>
      <c r="C35" s="397" t="s">
        <v>127</v>
      </c>
      <c r="D35" s="394"/>
    </row>
    <row r="36" spans="1:4">
      <c r="A36" s="484" t="s">
        <v>202</v>
      </c>
      <c r="B36" s="343" t="s">
        <v>212</v>
      </c>
      <c r="C36" s="397" t="s">
        <v>206</v>
      </c>
      <c r="D36" s="394" t="s">
        <v>211</v>
      </c>
    </row>
    <row r="37" spans="1:4">
      <c r="A37" s="484" t="s">
        <v>202</v>
      </c>
      <c r="B37" s="343" t="s">
        <v>216</v>
      </c>
      <c r="C37" s="397" t="s">
        <v>127</v>
      </c>
      <c r="D37" s="394" t="s">
        <v>214</v>
      </c>
    </row>
    <row r="38" spans="1:4">
      <c r="A38" s="484" t="s">
        <v>202</v>
      </c>
      <c r="B38" s="393" t="s">
        <v>217</v>
      </c>
      <c r="C38" s="397" t="s">
        <v>127</v>
      </c>
      <c r="D38" s="394" t="s">
        <v>214</v>
      </c>
    </row>
    <row r="39" spans="1:4">
      <c r="A39" s="484" t="s">
        <v>202</v>
      </c>
      <c r="B39" s="393" t="s">
        <v>221</v>
      </c>
      <c r="C39" s="397" t="s">
        <v>120</v>
      </c>
      <c r="D39" s="394" t="s">
        <v>220</v>
      </c>
    </row>
    <row r="40" spans="1:4">
      <c r="A40" s="484" t="s">
        <v>202</v>
      </c>
      <c r="B40" s="393" t="s">
        <v>225</v>
      </c>
      <c r="C40" s="397" t="s">
        <v>120</v>
      </c>
      <c r="D40" s="394" t="s">
        <v>224</v>
      </c>
    </row>
    <row r="41" spans="1:4">
      <c r="A41" s="484" t="s">
        <v>202</v>
      </c>
      <c r="B41" s="393" t="s">
        <v>228</v>
      </c>
      <c r="C41" s="397" t="s">
        <v>189</v>
      </c>
      <c r="D41" s="394" t="s">
        <v>227</v>
      </c>
    </row>
    <row r="42" spans="1:4">
      <c r="A42" s="484" t="s">
        <v>202</v>
      </c>
      <c r="B42" s="393" t="s">
        <v>229</v>
      </c>
      <c r="C42" s="397" t="s">
        <v>189</v>
      </c>
      <c r="D42" s="396"/>
    </row>
    <row r="43" spans="1:4">
      <c r="A43" s="484" t="s">
        <v>202</v>
      </c>
      <c r="B43" s="393" t="s">
        <v>230</v>
      </c>
      <c r="C43" s="397" t="s">
        <v>120</v>
      </c>
      <c r="D43" s="396"/>
    </row>
    <row r="44" spans="1:4">
      <c r="A44" s="484" t="s">
        <v>202</v>
      </c>
      <c r="B44" s="393" t="s">
        <v>231</v>
      </c>
      <c r="C44" s="397" t="s">
        <v>120</v>
      </c>
      <c r="D44" s="396"/>
    </row>
    <row r="45" spans="1:4">
      <c r="A45" s="484" t="s">
        <v>202</v>
      </c>
      <c r="B45" s="393" t="s">
        <v>232</v>
      </c>
      <c r="C45" s="397" t="s">
        <v>120</v>
      </c>
      <c r="D45" s="396"/>
    </row>
    <row r="46" spans="1:4" ht="25.5">
      <c r="A46" s="484" t="s">
        <v>202</v>
      </c>
      <c r="B46" s="393" t="s">
        <v>233</v>
      </c>
      <c r="C46" s="397" t="s">
        <v>120</v>
      </c>
      <c r="D46" s="394" t="s">
        <v>234</v>
      </c>
    </row>
    <row r="47" spans="1:4">
      <c r="A47" s="484" t="s">
        <v>202</v>
      </c>
      <c r="B47" s="393" t="s">
        <v>235</v>
      </c>
      <c r="C47" s="397" t="s">
        <v>189</v>
      </c>
      <c r="D47" s="396"/>
    </row>
    <row r="48" spans="1:4">
      <c r="A48" s="484" t="s">
        <v>202</v>
      </c>
      <c r="B48" s="393" t="s">
        <v>71</v>
      </c>
      <c r="C48" s="397" t="s">
        <v>120</v>
      </c>
      <c r="D48" s="394" t="s">
        <v>276</v>
      </c>
    </row>
    <row r="49" spans="1:4">
      <c r="A49" s="484"/>
      <c r="B49" s="393"/>
      <c r="C49" s="397"/>
      <c r="D49" s="394"/>
    </row>
    <row r="50" spans="1:4">
      <c r="A50" s="488"/>
      <c r="B50" s="489"/>
      <c r="C50" s="490"/>
      <c r="D50" s="491"/>
    </row>
    <row r="51" spans="1:4">
      <c r="A51" s="484"/>
      <c r="B51" s="393"/>
      <c r="C51" s="397"/>
      <c r="D51" s="394"/>
    </row>
    <row r="52" spans="1:4">
      <c r="A52" s="484"/>
      <c r="B52" s="343"/>
      <c r="C52" s="397"/>
      <c r="D52" s="394"/>
    </row>
    <row r="53" spans="1:4">
      <c r="A53" s="484"/>
      <c r="B53" s="343" t="s">
        <v>277</v>
      </c>
      <c r="C53" s="397" t="s">
        <v>120</v>
      </c>
      <c r="D53" s="394"/>
    </row>
    <row r="54" spans="1:4">
      <c r="A54" s="484"/>
      <c r="B54" s="343" t="s">
        <v>278</v>
      </c>
      <c r="C54" s="397" t="s">
        <v>120</v>
      </c>
      <c r="D54" s="394"/>
    </row>
    <row r="55" spans="1:4">
      <c r="A55" s="484"/>
      <c r="B55" s="343"/>
      <c r="C55" s="397"/>
      <c r="D55" s="394"/>
    </row>
    <row r="56" spans="1:4">
      <c r="A56" s="488"/>
      <c r="B56" s="489"/>
      <c r="C56" s="490"/>
      <c r="D56" s="491"/>
    </row>
    <row r="57" spans="1:4">
      <c r="A57" s="484"/>
      <c r="B57" s="343"/>
      <c r="C57" s="397"/>
      <c r="D57" s="394"/>
    </row>
    <row r="58" spans="1:4">
      <c r="A58" s="484"/>
      <c r="B58" s="343"/>
      <c r="C58" s="397"/>
      <c r="D58" s="394"/>
    </row>
    <row r="59" spans="1:4">
      <c r="A59" s="484" t="s">
        <v>244</v>
      </c>
      <c r="B59" s="343" t="s">
        <v>32</v>
      </c>
      <c r="C59" s="397" t="s">
        <v>31</v>
      </c>
      <c r="D59" s="394" t="s">
        <v>279</v>
      </c>
    </row>
    <row r="60" spans="1:4">
      <c r="A60" s="484" t="s">
        <v>246</v>
      </c>
      <c r="B60" s="343" t="s">
        <v>45</v>
      </c>
      <c r="C60" s="397" t="s">
        <v>31</v>
      </c>
      <c r="D60" s="394" t="s">
        <v>37</v>
      </c>
    </row>
    <row r="61" spans="1:4">
      <c r="A61" s="484" t="s">
        <v>247</v>
      </c>
      <c r="B61" s="343" t="s">
        <v>49</v>
      </c>
      <c r="C61" s="397" t="s">
        <v>31</v>
      </c>
      <c r="D61" s="394" t="s">
        <v>30</v>
      </c>
    </row>
    <row r="62" spans="1:4">
      <c r="A62" s="484" t="s">
        <v>247</v>
      </c>
      <c r="B62" s="343" t="s">
        <v>52</v>
      </c>
      <c r="C62" s="397" t="s">
        <v>31</v>
      </c>
      <c r="D62" s="394" t="s">
        <v>249</v>
      </c>
    </row>
    <row r="63" spans="1:4">
      <c r="A63" s="484"/>
      <c r="B63" s="343"/>
      <c r="C63" s="397"/>
      <c r="D63" s="394"/>
    </row>
    <row r="64" spans="1:4">
      <c r="A64" s="484"/>
      <c r="B64" s="343"/>
      <c r="C64" s="397"/>
      <c r="D64" s="394"/>
    </row>
    <row r="65" spans="1:4">
      <c r="A65" s="484"/>
      <c r="B65" s="343"/>
      <c r="C65" s="397"/>
      <c r="D65" s="394"/>
    </row>
    <row r="66" spans="1:4">
      <c r="A66" s="484"/>
      <c r="B66" s="343"/>
      <c r="C66" s="397"/>
      <c r="D66" s="394"/>
    </row>
    <row r="67" spans="1:4">
      <c r="A67" s="484"/>
      <c r="B67" s="343"/>
      <c r="C67" s="397"/>
      <c r="D67" s="394"/>
    </row>
    <row r="68" spans="1:4">
      <c r="A68" s="484"/>
      <c r="B68" s="343"/>
      <c r="C68" s="397"/>
      <c r="D68" s="394"/>
    </row>
    <row r="69" spans="1:4">
      <c r="A69" s="484"/>
      <c r="B69" s="343"/>
      <c r="C69" s="397"/>
      <c r="D69" s="394"/>
    </row>
    <row r="70" spans="1:4">
      <c r="A70" s="484"/>
      <c r="B70" s="343"/>
      <c r="C70" s="397"/>
      <c r="D70" s="394"/>
    </row>
    <row r="71" spans="1:4">
      <c r="A71" s="484"/>
      <c r="B71" s="343"/>
      <c r="C71" s="397"/>
      <c r="D71" s="394"/>
    </row>
    <row r="72" spans="1:4">
      <c r="A72" s="484"/>
      <c r="B72" s="343"/>
      <c r="C72" s="397"/>
      <c r="D72" s="394"/>
    </row>
    <row r="73" spans="1:4">
      <c r="A73" s="484"/>
      <c r="B73" s="343"/>
      <c r="C73" s="397"/>
      <c r="D73" s="394"/>
    </row>
    <row r="74" spans="1:4">
      <c r="A74" s="484"/>
      <c r="B74" s="343"/>
      <c r="C74" s="397"/>
      <c r="D74" s="394"/>
    </row>
    <row r="75" spans="1:4">
      <c r="A75" s="484"/>
      <c r="B75" s="343"/>
      <c r="C75" s="397"/>
      <c r="D75" s="394"/>
    </row>
    <row r="76" spans="1:4">
      <c r="A76" s="484"/>
      <c r="B76" s="343"/>
      <c r="C76" s="397"/>
      <c r="D76" s="394"/>
    </row>
    <row r="77" spans="1:4">
      <c r="A77" s="484"/>
      <c r="B77" s="343"/>
      <c r="C77" s="397"/>
      <c r="D77" s="394"/>
    </row>
    <row r="78" spans="1:4">
      <c r="A78" s="484"/>
      <c r="B78" s="343"/>
      <c r="C78" s="397"/>
      <c r="D78" s="394"/>
    </row>
    <row r="79" spans="1:4">
      <c r="A79" s="484"/>
      <c r="B79" s="343"/>
      <c r="C79" s="397"/>
      <c r="D79" s="394"/>
    </row>
    <row r="80" spans="1:4">
      <c r="A80" s="484"/>
      <c r="B80" s="343"/>
      <c r="C80" s="397"/>
      <c r="D80" s="394"/>
    </row>
    <row r="81" spans="1:4">
      <c r="A81" s="484"/>
      <c r="B81" s="343"/>
      <c r="C81" s="397"/>
      <c r="D81" s="394"/>
    </row>
    <row r="82" spans="1:4">
      <c r="A82" s="484"/>
      <c r="B82" s="343"/>
      <c r="C82" s="397"/>
      <c r="D82" s="394"/>
    </row>
    <row r="83" spans="1:4">
      <c r="A83" s="484"/>
      <c r="B83" s="343"/>
      <c r="C83" s="397"/>
      <c r="D83" s="394"/>
    </row>
    <row r="84" spans="1:4">
      <c r="A84" s="484"/>
      <c r="B84" s="343"/>
      <c r="C84" s="397"/>
      <c r="D84" s="394"/>
    </row>
    <row r="85" spans="1:4">
      <c r="A85" s="484"/>
      <c r="B85" s="343"/>
      <c r="C85" s="397"/>
      <c r="D85" s="394"/>
    </row>
    <row r="86" spans="1:4">
      <c r="A86" s="484"/>
      <c r="B86" s="343"/>
      <c r="C86" s="397"/>
      <c r="D86" s="394"/>
    </row>
    <row r="87" spans="1:4">
      <c r="A87" s="484"/>
      <c r="B87" s="343"/>
      <c r="C87" s="397"/>
      <c r="D87" s="394"/>
    </row>
    <row r="88" spans="1:4">
      <c r="C88" s="398"/>
      <c r="D88" s="156"/>
    </row>
    <row r="89" spans="1:4">
      <c r="D89" s="156"/>
    </row>
    <row r="90" spans="1:4">
      <c r="D90" s="1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Raghu Puri</dc:creator>
  <cp:keywords/>
  <dc:description/>
  <cp:lastModifiedBy/>
  <cp:revision/>
  <dcterms:created xsi:type="dcterms:W3CDTF">2024-08-03T00:23:40Z</dcterms:created>
  <dcterms:modified xsi:type="dcterms:W3CDTF">2026-07-02T08:26:17Z</dcterms:modified>
  <cp:category/>
  <cp:contentStatus/>
</cp:coreProperties>
</file>